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redes" sheetId="1" r:id="rId5"/>
    <sheet state="visible" name="Sede Principal" sheetId="2" r:id="rId6"/>
    <sheet state="visible" name="Lima" sheetId="3" r:id="rId7"/>
    <sheet state="visible" name="La libertad" sheetId="4" r:id="rId8"/>
    <sheet state="visible" name="Ica" sheetId="5" r:id="rId9"/>
    <sheet state="visible" name="Huanuco" sheetId="6" r:id="rId10"/>
    <sheet state="visible" name="Puno" sheetId="7" r:id="rId11"/>
  </sheets>
  <definedNames/>
  <calcPr/>
</workbook>
</file>

<file path=xl/sharedStrings.xml><?xml version="1.0" encoding="utf-8"?>
<sst xmlns="http://schemas.openxmlformats.org/spreadsheetml/2006/main" count="728" uniqueCount="378">
  <si>
    <t>Caso Estudio:</t>
  </si>
  <si>
    <t>MIEMPRESA - Grupo 2 / Caso Oracle</t>
  </si>
  <si>
    <t xml:space="preserve">Dirección IP (Padre): </t>
  </si>
  <si>
    <t>10.192.0.0/16</t>
  </si>
  <si>
    <t>Numero de Subredes Requeridas:</t>
  </si>
  <si>
    <t>Cantidad de Bits para acomodar las subredes requeridas:</t>
  </si>
  <si>
    <t>3 bits (2^3 = 8)</t>
  </si>
  <si>
    <t>Subred</t>
  </si>
  <si>
    <t>Primer Octeto</t>
  </si>
  <si>
    <t>Segundo Octeto</t>
  </si>
  <si>
    <t>Tercer Octeto</t>
  </si>
  <si>
    <t>Cuarto Octeto</t>
  </si>
  <si>
    <t>Dirección de Red</t>
  </si>
  <si>
    <t>Mascara de subred</t>
  </si>
  <si>
    <t>Longitud de Prefijo (LP)</t>
  </si>
  <si>
    <t>Primer Host</t>
  </si>
  <si>
    <t>Ultimo Host</t>
  </si>
  <si>
    <t>Dirección de Broadcast</t>
  </si>
  <si>
    <t>Sede</t>
  </si>
  <si>
    <t>S0</t>
  </si>
  <si>
    <t>00001010</t>
  </si>
  <si>
    <t>11000000</t>
  </si>
  <si>
    <t>00000000</t>
  </si>
  <si>
    <t>10.192.0.0</t>
  </si>
  <si>
    <t>255.255.224.0</t>
  </si>
  <si>
    <t>/19</t>
  </si>
  <si>
    <t>10.192.0.1</t>
  </si>
  <si>
    <t>10.192.31.254</t>
  </si>
  <si>
    <t>10.192.31.255</t>
  </si>
  <si>
    <t>Reservado</t>
  </si>
  <si>
    <t>S1</t>
  </si>
  <si>
    <t>00100000</t>
  </si>
  <si>
    <t>10.192.32.0</t>
  </si>
  <si>
    <t>10.192.32.1</t>
  </si>
  <si>
    <t>10.192.63.254</t>
  </si>
  <si>
    <t>10.192.63.255</t>
  </si>
  <si>
    <t>Perú</t>
  </si>
  <si>
    <t>S2</t>
  </si>
  <si>
    <t>01000000</t>
  </si>
  <si>
    <t>10.192.64.0</t>
  </si>
  <si>
    <t>10.192.64.1</t>
  </si>
  <si>
    <t>10.192.95.254</t>
  </si>
  <si>
    <t>10.192.95.255</t>
  </si>
  <si>
    <t>Chile</t>
  </si>
  <si>
    <t>S3</t>
  </si>
  <si>
    <t>01100000</t>
  </si>
  <si>
    <t>10.192.96.0</t>
  </si>
  <si>
    <t>10.192.96.1</t>
  </si>
  <si>
    <t>10.192.127.254</t>
  </si>
  <si>
    <t>10.192.127.255</t>
  </si>
  <si>
    <t>Argentina</t>
  </si>
  <si>
    <t>S4</t>
  </si>
  <si>
    <t>10000000</t>
  </si>
  <si>
    <t>10.192.128.0</t>
  </si>
  <si>
    <t>10.192.128.1</t>
  </si>
  <si>
    <t>10.192.159.254</t>
  </si>
  <si>
    <t>10.192.159.255</t>
  </si>
  <si>
    <t>Ecuador</t>
  </si>
  <si>
    <t>S5</t>
  </si>
  <si>
    <t>10100000</t>
  </si>
  <si>
    <t>10.192.160.0</t>
  </si>
  <si>
    <t>10.192.160.1</t>
  </si>
  <si>
    <t>10.192.191.254</t>
  </si>
  <si>
    <t>10.192.191.255</t>
  </si>
  <si>
    <t>Colombia</t>
  </si>
  <si>
    <t>S6</t>
  </si>
  <si>
    <t>10.192.192.0</t>
  </si>
  <si>
    <t>10.192.192.1</t>
  </si>
  <si>
    <t>10.192.223.254</t>
  </si>
  <si>
    <t>10.192.223.255</t>
  </si>
  <si>
    <t>Reserva</t>
  </si>
  <si>
    <t>S7</t>
  </si>
  <si>
    <t>11100000</t>
  </si>
  <si>
    <t>10.192.224.0</t>
  </si>
  <si>
    <t>10.192.224.1</t>
  </si>
  <si>
    <t>10.192.255.254</t>
  </si>
  <si>
    <t>10.192.255.255</t>
  </si>
  <si>
    <t>Nombre de la Sede:</t>
  </si>
  <si>
    <t>Casa Matriz Peru</t>
  </si>
  <si>
    <t>Direccion IP (subred):</t>
  </si>
  <si>
    <t>10.192.32.0/19</t>
  </si>
  <si>
    <t>N° de subredes</t>
  </si>
  <si>
    <t>Nombre de la sede</t>
  </si>
  <si>
    <t>255.255.252.0</t>
  </si>
  <si>
    <t>/22</t>
  </si>
  <si>
    <t>10.192.35.254</t>
  </si>
  <si>
    <t>10.192.35.255</t>
  </si>
  <si>
    <t>00100100</t>
  </si>
  <si>
    <t>10.192.36.0</t>
  </si>
  <si>
    <t>10.192.36.1</t>
  </si>
  <si>
    <t>10.192.39.254</t>
  </si>
  <si>
    <t>10.192.39.255</t>
  </si>
  <si>
    <t>WAN</t>
  </si>
  <si>
    <t>00101000</t>
  </si>
  <si>
    <t>10.192.40.0</t>
  </si>
  <si>
    <t>10.192.40.1</t>
  </si>
  <si>
    <t>10.192.43.254</t>
  </si>
  <si>
    <t>10.192.43.255</t>
  </si>
  <si>
    <t>Lima</t>
  </si>
  <si>
    <t>00101100</t>
  </si>
  <si>
    <t>10.192.44.0</t>
  </si>
  <si>
    <t>10.192.44.1</t>
  </si>
  <si>
    <t>10.192.47.254</t>
  </si>
  <si>
    <t>10.192.47.255</t>
  </si>
  <si>
    <t>La Libertad</t>
  </si>
  <si>
    <t>00110000</t>
  </si>
  <si>
    <t>10.192.48.0</t>
  </si>
  <si>
    <t>10.192.48.1</t>
  </si>
  <si>
    <t>10.192.51.254</t>
  </si>
  <si>
    <t>10.192.51.255</t>
  </si>
  <si>
    <t>Ica</t>
  </si>
  <si>
    <t>00110100</t>
  </si>
  <si>
    <t>10.192.52.0</t>
  </si>
  <si>
    <t>10.192.52.1</t>
  </si>
  <si>
    <t>10.192.55.254</t>
  </si>
  <si>
    <t>10.192.55.255</t>
  </si>
  <si>
    <t>Huanuco</t>
  </si>
  <si>
    <t>00111000</t>
  </si>
  <si>
    <t>10.192.56.0</t>
  </si>
  <si>
    <t>10.192.56.1</t>
  </si>
  <si>
    <t>10.192.59.254</t>
  </si>
  <si>
    <t>10.192.59.255</t>
  </si>
  <si>
    <t>Puno</t>
  </si>
  <si>
    <t>00111100</t>
  </si>
  <si>
    <t>10.192.60.0</t>
  </si>
  <si>
    <t>10.192.60.1</t>
  </si>
  <si>
    <t>TABLA WAN</t>
  </si>
  <si>
    <t>Direccion de Red</t>
  </si>
  <si>
    <t>Mascara</t>
  </si>
  <si>
    <t>Segundo Host</t>
  </si>
  <si>
    <t>Broadcast</t>
  </si>
  <si>
    <t>Lima - Ica</t>
  </si>
  <si>
    <t>255.255.255.252</t>
  </si>
  <si>
    <t>10.192.36.2</t>
  </si>
  <si>
    <t>10.192.36.3</t>
  </si>
  <si>
    <t>Lima - La Libertad</t>
  </si>
  <si>
    <t>10.192.36.4</t>
  </si>
  <si>
    <t>10.192.36.5</t>
  </si>
  <si>
    <t>10.192.36.6</t>
  </si>
  <si>
    <t>10.192.36.7</t>
  </si>
  <si>
    <t>Lima - Huanuco</t>
  </si>
  <si>
    <t>10.192.36.8</t>
  </si>
  <si>
    <t>10.192.36.9</t>
  </si>
  <si>
    <t>10.192.36.10</t>
  </si>
  <si>
    <t>10.192.36.11</t>
  </si>
  <si>
    <t>Lima - Puno</t>
  </si>
  <si>
    <t>10.192.36.12</t>
  </si>
  <si>
    <t>10.192.36.13</t>
  </si>
  <si>
    <t>10.192.36.14</t>
  </si>
  <si>
    <t>10.192.36.15</t>
  </si>
  <si>
    <t>Apellidos y Nombre del estudiante:</t>
  </si>
  <si>
    <t>Dante Mateo Aleman Romano</t>
  </si>
  <si>
    <t>Lima - Sede Principal</t>
  </si>
  <si>
    <t xml:space="preserve">Direccion IP (subred): </t>
  </si>
  <si>
    <t>10.192.40.0/22</t>
  </si>
  <si>
    <t>Nombre de la Unidad Organizacional</t>
  </si>
  <si>
    <t>Requisitos de hosts Actuales</t>
  </si>
  <si>
    <t>Requisitos de hosts con crecimiento del 25% (x 1.25)</t>
  </si>
  <si>
    <t>Nombre de la VLAN</t>
  </si>
  <si>
    <t>VLAN ID</t>
  </si>
  <si>
    <t>h</t>
  </si>
  <si>
    <t>Hosts asignados (# hosts)</t>
  </si>
  <si>
    <t>Mascara de Subred</t>
  </si>
  <si>
    <t>Ventas</t>
  </si>
  <si>
    <t>VLVEN</t>
  </si>
  <si>
    <t>/24</t>
  </si>
  <si>
    <t>255.255.255.0</t>
  </si>
  <si>
    <t>10.192.40.254</t>
  </si>
  <si>
    <t>10.192.40.255</t>
  </si>
  <si>
    <t>Administracion</t>
  </si>
  <si>
    <t>VLADM</t>
  </si>
  <si>
    <t>/25</t>
  </si>
  <si>
    <t>255.255.255.128</t>
  </si>
  <si>
    <t>10.192.41.0</t>
  </si>
  <si>
    <t>10.192.41.1</t>
  </si>
  <si>
    <t>10.192.41.126</t>
  </si>
  <si>
    <t>10.192.41.127</t>
  </si>
  <si>
    <t>Finanzas</t>
  </si>
  <si>
    <t>VLFIN</t>
  </si>
  <si>
    <t>/26</t>
  </si>
  <si>
    <t>255.255.255.192</t>
  </si>
  <si>
    <t>10.192.41.128</t>
  </si>
  <si>
    <t>10.192.41.129</t>
  </si>
  <si>
    <t>10.192.41.190</t>
  </si>
  <si>
    <t>10.192.41.191</t>
  </si>
  <si>
    <t>WiFi Ejecutivos</t>
  </si>
  <si>
    <t>VLWFEJE</t>
  </si>
  <si>
    <t>10.192.41.192</t>
  </si>
  <si>
    <t>10.192.41.193</t>
  </si>
  <si>
    <t>10.192.41.254</t>
  </si>
  <si>
    <t>10.192.41.255</t>
  </si>
  <si>
    <t>Marketing</t>
  </si>
  <si>
    <t>VLMAR</t>
  </si>
  <si>
    <t>10.192.42.0</t>
  </si>
  <si>
    <t>10.192.42.1</t>
  </si>
  <si>
    <t>10.192.42.62</t>
  </si>
  <si>
    <t>10.192.42.63</t>
  </si>
  <si>
    <t>Logistica</t>
  </si>
  <si>
    <t>VLLOG</t>
  </si>
  <si>
    <t>10.192.42.64</t>
  </si>
  <si>
    <t>10.192.42.65</t>
  </si>
  <si>
    <t>10.192.42.126</t>
  </si>
  <si>
    <t>10.192.42.127</t>
  </si>
  <si>
    <t>WiFi Clientes</t>
  </si>
  <si>
    <t>VLWFCLI</t>
  </si>
  <si>
    <t>/27</t>
  </si>
  <si>
    <t>255.255.255.224</t>
  </si>
  <si>
    <t>10.192.42.128</t>
  </si>
  <si>
    <t>10.192.42.129</t>
  </si>
  <si>
    <t>10.192.42.158</t>
  </si>
  <si>
    <t>10.192.42.159</t>
  </si>
  <si>
    <t>Nativa/Gestion</t>
  </si>
  <si>
    <t>VLNAT</t>
  </si>
  <si>
    <t>10.192.42.160</t>
  </si>
  <si>
    <t>10.192.42.161</t>
  </si>
  <si>
    <t>10.192.42.190</t>
  </si>
  <si>
    <t>10.192.42.191</t>
  </si>
  <si>
    <t>Servidores</t>
  </si>
  <si>
    <t>VLSER</t>
  </si>
  <si>
    <t>/28</t>
  </si>
  <si>
    <t>255.255.255.240</t>
  </si>
  <si>
    <t>10.192.42.192</t>
  </si>
  <si>
    <t>10.192.42.193</t>
  </si>
  <si>
    <t>10.192.42.206</t>
  </si>
  <si>
    <t>10.192.42.207</t>
  </si>
  <si>
    <t>Total Host</t>
  </si>
  <si>
    <t>Yeremi Tanner Villavicencio Rios</t>
  </si>
  <si>
    <t>10.192.44.0/22</t>
  </si>
  <si>
    <t>Direccion de Broadcast</t>
  </si>
  <si>
    <t>10.192.44.126</t>
  </si>
  <si>
    <t>10.192.44.127</t>
  </si>
  <si>
    <t>10.192.44.128</t>
  </si>
  <si>
    <t>10.192.44.129</t>
  </si>
  <si>
    <t>10.192.44.190</t>
  </si>
  <si>
    <t>10.192.44.191</t>
  </si>
  <si>
    <t>10.192.44.192</t>
  </si>
  <si>
    <t>10.192.44.193</t>
  </si>
  <si>
    <t>10.192.44.222</t>
  </si>
  <si>
    <t>10.192.44.223</t>
  </si>
  <si>
    <t>10.192.44.224</t>
  </si>
  <si>
    <t>10.192.44.225</t>
  </si>
  <si>
    <t>10.192.44.238</t>
  </si>
  <si>
    <t>10.192.44.239</t>
  </si>
  <si>
    <t>10.192.44.240</t>
  </si>
  <si>
    <t>10.192.44.241</t>
  </si>
  <si>
    <t>10.192.44.254</t>
  </si>
  <si>
    <t>10.192.44.255</t>
  </si>
  <si>
    <t>10.192.45.0</t>
  </si>
  <si>
    <t>10.192.45.1</t>
  </si>
  <si>
    <t>10.192.45.14</t>
  </si>
  <si>
    <t>10.192.45.15</t>
  </si>
  <si>
    <t>10.192.45.16</t>
  </si>
  <si>
    <t>10.192.45.17</t>
  </si>
  <si>
    <t>10.192.45.30</t>
  </si>
  <si>
    <t>10.192.45.31</t>
  </si>
  <si>
    <t>/29</t>
  </si>
  <si>
    <t>255.255.255.248</t>
  </si>
  <si>
    <t>10.192.45.32</t>
  </si>
  <si>
    <t>10.192.45.33</t>
  </si>
  <si>
    <t>10.192.45.38</t>
  </si>
  <si>
    <t>10.192.45.39</t>
  </si>
  <si>
    <t>10.192.45.40</t>
  </si>
  <si>
    <t>10.192.45.41</t>
  </si>
  <si>
    <t>10.192.45.46</t>
  </si>
  <si>
    <t>10.192.45.47</t>
  </si>
  <si>
    <t>Validacion:</t>
  </si>
  <si>
    <t>Todas las VLAN quedan dentro de 10.192.44.0/22 y no se solapan.</t>
  </si>
  <si>
    <t>Quiroz Villafuerte Albert Stheven</t>
  </si>
  <si>
    <t>10.192.48.0/22</t>
  </si>
  <si>
    <t>10.192.48.126</t>
  </si>
  <si>
    <t>10.192.48.127</t>
  </si>
  <si>
    <t>10.192.48.128</t>
  </si>
  <si>
    <t>10.192.48.129</t>
  </si>
  <si>
    <t>10.192.48.190</t>
  </si>
  <si>
    <t>10.192.48.191</t>
  </si>
  <si>
    <t>10.192.48.192</t>
  </si>
  <si>
    <t>10.192.48.193</t>
  </si>
  <si>
    <t>10.192.48.222</t>
  </si>
  <si>
    <t>10.192.48.223</t>
  </si>
  <si>
    <t>10.192.48.224</t>
  </si>
  <si>
    <t>10.192.48.225</t>
  </si>
  <si>
    <t>10.192.48.254</t>
  </si>
  <si>
    <t>10.192.48.255</t>
  </si>
  <si>
    <t>10.192.49.0</t>
  </si>
  <si>
    <t>10.192.49.1</t>
  </si>
  <si>
    <t>10.192.49.14</t>
  </si>
  <si>
    <t>10.192.49.15</t>
  </si>
  <si>
    <t>10.192.49.16</t>
  </si>
  <si>
    <t>10.192.49.17</t>
  </si>
  <si>
    <t>10.192.49.30</t>
  </si>
  <si>
    <t>10.192.49.31</t>
  </si>
  <si>
    <t>10.192.49.32</t>
  </si>
  <si>
    <t>10.192.49.33</t>
  </si>
  <si>
    <t>10.192.49.46</t>
  </si>
  <si>
    <t>10.192.49.47</t>
  </si>
  <si>
    <t>10.192.49.48</t>
  </si>
  <si>
    <t>10.192.49.49</t>
  </si>
  <si>
    <t>10.192.49.62</t>
  </si>
  <si>
    <t>10.192.49.63</t>
  </si>
  <si>
    <t>10.192.49.64</t>
  </si>
  <si>
    <t>10.192.49.65</t>
  </si>
  <si>
    <t>10.192.49.78</t>
  </si>
  <si>
    <t>10.192.49.79</t>
  </si>
  <si>
    <t>Todas las VLAN quedan dentro de 10.192.48.0/22 y no se solapan.</t>
  </si>
  <si>
    <t>Portalanza Romero, Aurora de Libertad</t>
  </si>
  <si>
    <t>10.192.52.0/22</t>
  </si>
  <si>
    <t>10.192.52.62</t>
  </si>
  <si>
    <t>10.192.52.63</t>
  </si>
  <si>
    <t>10.192.52.64</t>
  </si>
  <si>
    <t>10.192.52.65</t>
  </si>
  <si>
    <t>10.192.52.94</t>
  </si>
  <si>
    <t>10.192.52.95</t>
  </si>
  <si>
    <t>10.192.52.96</t>
  </si>
  <si>
    <t>10.192.52.97</t>
  </si>
  <si>
    <t>10.192.52.110</t>
  </si>
  <si>
    <t>10.192.52.111</t>
  </si>
  <si>
    <t>10.192.52.112</t>
  </si>
  <si>
    <t>10.192.52.113</t>
  </si>
  <si>
    <t>10.192.52.126</t>
  </si>
  <si>
    <t>10.192.52.127</t>
  </si>
  <si>
    <t>10.192.52.128</t>
  </si>
  <si>
    <t>10.192.52.129</t>
  </si>
  <si>
    <t>10.192.52.142</t>
  </si>
  <si>
    <t>10.192.52.143</t>
  </si>
  <si>
    <t>10.192.52.144</t>
  </si>
  <si>
    <t>10.192.52.145</t>
  </si>
  <si>
    <t>10.192.52.158</t>
  </si>
  <si>
    <t>10.192.52.159</t>
  </si>
  <si>
    <t>10.192.52.160</t>
  </si>
  <si>
    <t>10.192.52.161</t>
  </si>
  <si>
    <t>10.192.52.174</t>
  </si>
  <si>
    <t>10.192.52.175</t>
  </si>
  <si>
    <t>10.192.52.176</t>
  </si>
  <si>
    <t>10.192.52.177</t>
  </si>
  <si>
    <t>10.192.52.182</t>
  </si>
  <si>
    <t>10.192.52.183</t>
  </si>
  <si>
    <t>10.192.52.184</t>
  </si>
  <si>
    <t>10.192.52.185</t>
  </si>
  <si>
    <t>10.192.52.190</t>
  </si>
  <si>
    <t>10.192.52.191</t>
  </si>
  <si>
    <t>Todas las VLAN quedan dentro de 10.192.52.0/22 y no se solapan.</t>
  </si>
  <si>
    <t>Fernandez Cjuro, Nadinne Anahi</t>
  </si>
  <si>
    <t>10.192.56.0/22</t>
  </si>
  <si>
    <t>10.192.56.62</t>
  </si>
  <si>
    <t>10.192.56.63</t>
  </si>
  <si>
    <t>10.192.56.64</t>
  </si>
  <si>
    <t>10.192.56.65</t>
  </si>
  <si>
    <t>10.192.56.94</t>
  </si>
  <si>
    <t>10.192.56.95</t>
  </si>
  <si>
    <t>10.192.56.96</t>
  </si>
  <si>
    <t>10.192.56.97</t>
  </si>
  <si>
    <t>10.192.56.110</t>
  </si>
  <si>
    <t>10.192.56.111</t>
  </si>
  <si>
    <t>10.192.56.112</t>
  </si>
  <si>
    <t>10.192.56.113</t>
  </si>
  <si>
    <t>10.192.56.126</t>
  </si>
  <si>
    <t>10.192.56.127</t>
  </si>
  <si>
    <t>10.192.56.128</t>
  </si>
  <si>
    <t>10.192.56.129</t>
  </si>
  <si>
    <t>10.192.56.142</t>
  </si>
  <si>
    <t>10.192.56.143</t>
  </si>
  <si>
    <t>10.192.56.144</t>
  </si>
  <si>
    <t>10.192.56.145</t>
  </si>
  <si>
    <t>10.192.56.158</t>
  </si>
  <si>
    <t>10.192.56.159</t>
  </si>
  <si>
    <t>10.192.56.160</t>
  </si>
  <si>
    <t>10.192.56.161</t>
  </si>
  <si>
    <t>10.192.56.174</t>
  </si>
  <si>
    <t>10.192.56.175</t>
  </si>
  <si>
    <t>10.192.56.176</t>
  </si>
  <si>
    <t>10.192.56.177</t>
  </si>
  <si>
    <t>10.192.56.190</t>
  </si>
  <si>
    <t>10.192.56.191</t>
  </si>
  <si>
    <t>10.192.56.192</t>
  </si>
  <si>
    <t>10.192.56.193</t>
  </si>
  <si>
    <t>10.192.56.198</t>
  </si>
  <si>
    <t>10.192.56.199</t>
  </si>
  <si>
    <t>Todas las VLAN quedan dentro de 10.192.56.0/22 y no se solapan.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</si>
</sst>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sz val="12.0"/>
      <color rgb="FF333333"/>
      <name val="&quot;Open Sans&quot;"/>
    </font>
    <font>
      <b/>
      <color theme="1"/>
      <name val="Arial"/>
      <scheme val="minor"/>
    </font>
    <font/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808080"/>
        <bgColor rgb="FF80808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vertical="top"/>
    </xf>
    <xf borderId="0" fillId="2" fontId="4" numFmtId="0" xfId="0" applyAlignment="1" applyFill="1" applyFont="1">
      <alignment horizontal="left"/>
    </xf>
    <xf borderId="1" fillId="0" fontId="1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center" readingOrder="0"/>
    </xf>
    <xf quotePrefix="1"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2" fontId="3" numFmtId="0" xfId="0" applyAlignment="1" applyFont="1">
      <alignment vertical="bottom"/>
    </xf>
    <xf borderId="1" fillId="0" fontId="2" numFmtId="0" xfId="0" applyAlignment="1" applyBorder="1" applyFont="1">
      <alignment horizontal="center" readingOrder="0"/>
    </xf>
    <xf borderId="1" fillId="2" fontId="1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readingOrder="0" vertical="bottom"/>
    </xf>
    <xf borderId="1" fillId="3" fontId="2" numFmtId="0" xfId="0" applyAlignment="1" applyBorder="1" applyFill="1" applyFont="1">
      <alignment readingOrder="0"/>
    </xf>
    <xf borderId="2" fillId="0" fontId="3" numFmtId="0" xfId="0" applyAlignment="1" applyBorder="1" applyFont="1">
      <alignment horizontal="center" readingOrder="0" shrinkToFit="0" vertical="top" wrapText="1"/>
    </xf>
    <xf borderId="3" fillId="0" fontId="6" numFmtId="0" xfId="0" applyBorder="1" applyFont="1"/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readingOrder="0" shrinkToFit="0" vertical="top" wrapText="1"/>
    </xf>
    <xf borderId="2" fillId="0" fontId="3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7" numFmtId="0" xfId="0" applyAlignment="1" applyBorder="1" applyFont="1">
      <alignment readingOrder="0"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4" fillId="0" fontId="6" numFmtId="0" xfId="0" applyBorder="1" applyFont="1"/>
    <xf borderId="0" fillId="0" fontId="8" numFmtId="0" xfId="0" applyAlignment="1" applyFont="1">
      <alignment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4" fontId="9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30.38"/>
    <col customWidth="1" min="3" max="3" width="17.38"/>
    <col customWidth="1" min="4" max="4" width="13.88"/>
    <col customWidth="1" min="5" max="5" width="14.75"/>
    <col customWidth="1" min="6" max="6" width="19.38"/>
    <col customWidth="1" min="7" max="7" width="19.13"/>
    <col customWidth="1" min="8" max="8" width="22.0"/>
    <col customWidth="1" min="9" max="9" width="19.88"/>
    <col customWidth="1" min="10" max="10" width="15.25"/>
    <col customWidth="1" min="11" max="11" width="22.38"/>
    <col customWidth="1" min="12" max="12" width="19.88"/>
  </cols>
  <sheetData>
    <row r="2">
      <c r="A2" s="1" t="s">
        <v>0</v>
      </c>
      <c r="B2" s="2" t="s">
        <v>1</v>
      </c>
    </row>
    <row r="3">
      <c r="A3" s="1" t="s">
        <v>2</v>
      </c>
      <c r="B3" s="3" t="s">
        <v>3</v>
      </c>
    </row>
    <row r="4">
      <c r="A4" s="1" t="s">
        <v>4</v>
      </c>
      <c r="B4" s="3">
        <v>8.0</v>
      </c>
      <c r="H4" s="4"/>
    </row>
    <row r="5">
      <c r="A5" s="5" t="s">
        <v>5</v>
      </c>
      <c r="B5" s="3" t="s">
        <v>6</v>
      </c>
    </row>
    <row r="10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  <c r="H10" s="6" t="s">
        <v>14</v>
      </c>
      <c r="I10" s="6" t="s">
        <v>15</v>
      </c>
      <c r="J10" s="6" t="s">
        <v>16</v>
      </c>
      <c r="K10" s="6" t="s">
        <v>17</v>
      </c>
      <c r="L10" s="6" t="s">
        <v>18</v>
      </c>
    </row>
    <row r="11">
      <c r="A11" s="2" t="s">
        <v>19</v>
      </c>
      <c r="B11" s="7" t="s">
        <v>20</v>
      </c>
      <c r="C11" s="7" t="s">
        <v>21</v>
      </c>
      <c r="D11" s="7" t="s">
        <v>22</v>
      </c>
      <c r="E11" s="7" t="s">
        <v>22</v>
      </c>
      <c r="F11" s="2" t="s">
        <v>23</v>
      </c>
      <c r="G11" s="2" t="s">
        <v>24</v>
      </c>
      <c r="H11" s="2" t="s">
        <v>25</v>
      </c>
      <c r="I11" s="2" t="s">
        <v>26</v>
      </c>
      <c r="J11" s="2" t="s">
        <v>27</v>
      </c>
      <c r="K11" s="2" t="s">
        <v>28</v>
      </c>
      <c r="L11" s="2" t="s">
        <v>29</v>
      </c>
    </row>
    <row r="12">
      <c r="A12" s="2" t="s">
        <v>30</v>
      </c>
      <c r="B12" s="7" t="s">
        <v>20</v>
      </c>
      <c r="C12" s="7" t="s">
        <v>21</v>
      </c>
      <c r="D12" s="7" t="s">
        <v>31</v>
      </c>
      <c r="E12" s="7" t="s">
        <v>22</v>
      </c>
      <c r="F12" s="2" t="s">
        <v>32</v>
      </c>
      <c r="G12" s="2" t="s">
        <v>24</v>
      </c>
      <c r="H12" s="2" t="s">
        <v>25</v>
      </c>
      <c r="I12" s="2" t="s">
        <v>33</v>
      </c>
      <c r="J12" s="2" t="s">
        <v>34</v>
      </c>
      <c r="K12" s="2" t="s">
        <v>35</v>
      </c>
      <c r="L12" s="2" t="s">
        <v>36</v>
      </c>
    </row>
    <row r="13">
      <c r="A13" s="2" t="s">
        <v>37</v>
      </c>
      <c r="B13" s="7" t="s">
        <v>20</v>
      </c>
      <c r="C13" s="7" t="s">
        <v>21</v>
      </c>
      <c r="D13" s="7" t="s">
        <v>38</v>
      </c>
      <c r="E13" s="7" t="s">
        <v>22</v>
      </c>
      <c r="F13" s="2" t="s">
        <v>39</v>
      </c>
      <c r="G13" s="2" t="s">
        <v>24</v>
      </c>
      <c r="H13" s="2" t="s">
        <v>25</v>
      </c>
      <c r="I13" s="2" t="s">
        <v>40</v>
      </c>
      <c r="J13" s="2" t="s">
        <v>41</v>
      </c>
      <c r="K13" s="2" t="s">
        <v>42</v>
      </c>
      <c r="L13" s="2" t="s">
        <v>43</v>
      </c>
    </row>
    <row r="14">
      <c r="A14" s="2" t="s">
        <v>44</v>
      </c>
      <c r="B14" s="7" t="s">
        <v>20</v>
      </c>
      <c r="C14" s="7" t="s">
        <v>21</v>
      </c>
      <c r="D14" s="7" t="s">
        <v>45</v>
      </c>
      <c r="E14" s="7" t="s">
        <v>22</v>
      </c>
      <c r="F14" s="2" t="s">
        <v>46</v>
      </c>
      <c r="G14" s="2" t="s">
        <v>24</v>
      </c>
      <c r="H14" s="2" t="s">
        <v>25</v>
      </c>
      <c r="I14" s="2" t="s">
        <v>47</v>
      </c>
      <c r="J14" s="2" t="s">
        <v>48</v>
      </c>
      <c r="K14" s="2" t="s">
        <v>49</v>
      </c>
      <c r="L14" s="2" t="s">
        <v>50</v>
      </c>
    </row>
    <row r="15">
      <c r="A15" s="2" t="s">
        <v>51</v>
      </c>
      <c r="B15" s="7" t="s">
        <v>20</v>
      </c>
      <c r="C15" s="7" t="s">
        <v>21</v>
      </c>
      <c r="D15" s="7" t="s">
        <v>52</v>
      </c>
      <c r="E15" s="7" t="s">
        <v>22</v>
      </c>
      <c r="F15" s="2" t="s">
        <v>53</v>
      </c>
      <c r="G15" s="2" t="s">
        <v>24</v>
      </c>
      <c r="H15" s="2" t="s">
        <v>25</v>
      </c>
      <c r="I15" s="2" t="s">
        <v>54</v>
      </c>
      <c r="J15" s="2" t="s">
        <v>55</v>
      </c>
      <c r="K15" s="2" t="s">
        <v>56</v>
      </c>
      <c r="L15" s="2" t="s">
        <v>57</v>
      </c>
    </row>
    <row r="16">
      <c r="A16" s="2" t="s">
        <v>58</v>
      </c>
      <c r="B16" s="7" t="s">
        <v>20</v>
      </c>
      <c r="C16" s="7" t="s">
        <v>21</v>
      </c>
      <c r="D16" s="7" t="s">
        <v>59</v>
      </c>
      <c r="E16" s="7" t="s">
        <v>22</v>
      </c>
      <c r="F16" s="2" t="s">
        <v>60</v>
      </c>
      <c r="G16" s="2" t="s">
        <v>24</v>
      </c>
      <c r="H16" s="2" t="s">
        <v>25</v>
      </c>
      <c r="I16" s="2" t="s">
        <v>61</v>
      </c>
      <c r="J16" s="2" t="s">
        <v>62</v>
      </c>
      <c r="K16" s="2" t="s">
        <v>63</v>
      </c>
      <c r="L16" s="2" t="s">
        <v>64</v>
      </c>
    </row>
    <row r="17">
      <c r="A17" s="2" t="s">
        <v>65</v>
      </c>
      <c r="B17" s="7" t="s">
        <v>20</v>
      </c>
      <c r="C17" s="7" t="s">
        <v>21</v>
      </c>
      <c r="D17" s="7" t="s">
        <v>21</v>
      </c>
      <c r="E17" s="7" t="s">
        <v>22</v>
      </c>
      <c r="F17" s="2" t="s">
        <v>66</v>
      </c>
      <c r="G17" s="2" t="s">
        <v>24</v>
      </c>
      <c r="H17" s="2" t="s">
        <v>25</v>
      </c>
      <c r="I17" s="2" t="s">
        <v>67</v>
      </c>
      <c r="J17" s="2" t="s">
        <v>68</v>
      </c>
      <c r="K17" s="2" t="s">
        <v>69</v>
      </c>
      <c r="L17" s="2" t="s">
        <v>70</v>
      </c>
    </row>
    <row r="18">
      <c r="A18" s="2" t="s">
        <v>71</v>
      </c>
      <c r="B18" s="7" t="s">
        <v>20</v>
      </c>
      <c r="C18" s="7" t="s">
        <v>21</v>
      </c>
      <c r="D18" s="7" t="s">
        <v>72</v>
      </c>
      <c r="E18" s="7" t="s">
        <v>22</v>
      </c>
      <c r="F18" s="2" t="s">
        <v>73</v>
      </c>
      <c r="G18" s="2" t="s">
        <v>24</v>
      </c>
      <c r="H18" s="2" t="s">
        <v>25</v>
      </c>
      <c r="I18" s="2" t="s">
        <v>74</v>
      </c>
      <c r="J18" s="2" t="s">
        <v>75</v>
      </c>
      <c r="K18" s="2" t="s">
        <v>76</v>
      </c>
      <c r="L18" s="2" t="s">
        <v>70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0"/>
    <col customWidth="1" min="3" max="3" width="13.88"/>
    <col customWidth="1" min="6" max="6" width="15.75"/>
    <col customWidth="1" min="7" max="7" width="16.13"/>
    <col customWidth="1" min="8" max="8" width="19.88"/>
    <col customWidth="1" min="9" max="9" width="14.75"/>
    <col customWidth="1" min="11" max="11" width="19.63"/>
    <col customWidth="1" min="12" max="12" width="15.88"/>
  </cols>
  <sheetData>
    <row r="1">
      <c r="A1" s="8" t="s">
        <v>77</v>
      </c>
      <c r="B1" s="9" t="s">
        <v>78</v>
      </c>
      <c r="C1" s="10"/>
      <c r="D1" s="11"/>
      <c r="E1" s="11"/>
      <c r="F1" s="11"/>
      <c r="G1" s="11"/>
      <c r="H1" s="11"/>
      <c r="I1" s="11"/>
      <c r="J1" s="11"/>
      <c r="K1" s="11"/>
      <c r="L1" s="11"/>
    </row>
    <row r="2">
      <c r="A2" s="8" t="s">
        <v>79</v>
      </c>
      <c r="B2" s="12" t="s">
        <v>80</v>
      </c>
      <c r="C2" s="10"/>
      <c r="D2" s="11"/>
      <c r="E2" s="11"/>
      <c r="F2" s="11"/>
      <c r="G2" s="11"/>
      <c r="H2" s="11"/>
      <c r="I2" s="11"/>
      <c r="J2" s="11"/>
      <c r="K2" s="11"/>
      <c r="L2" s="11"/>
    </row>
    <row r="3">
      <c r="A3" s="13" t="s">
        <v>81</v>
      </c>
      <c r="B3" s="9">
        <v>8.0</v>
      </c>
      <c r="C3" s="10"/>
      <c r="D3" s="11"/>
      <c r="E3" s="11"/>
      <c r="F3" s="11"/>
      <c r="G3" s="11"/>
      <c r="H3" s="11"/>
      <c r="I3" s="11"/>
      <c r="J3" s="11"/>
      <c r="K3" s="11"/>
      <c r="L3" s="14"/>
    </row>
    <row r="4">
      <c r="A4" s="5" t="s">
        <v>5</v>
      </c>
      <c r="B4" s="3" t="s">
        <v>6</v>
      </c>
      <c r="C4" s="11"/>
      <c r="D4" s="11"/>
      <c r="E4" s="14"/>
      <c r="F4" s="14"/>
      <c r="G4" s="14"/>
      <c r="H4" s="14"/>
      <c r="I4" s="14"/>
      <c r="J4" s="14"/>
      <c r="K4" s="14"/>
      <c r="L4" s="14"/>
    </row>
    <row r="5">
      <c r="A5" s="11"/>
      <c r="B5" s="11"/>
      <c r="C5" s="11"/>
      <c r="D5" s="11"/>
      <c r="E5" s="11"/>
      <c r="F5" s="14"/>
      <c r="G5" s="14"/>
      <c r="H5" s="14"/>
      <c r="I5" s="14"/>
      <c r="J5" s="14"/>
      <c r="K5" s="14"/>
      <c r="L5" s="14"/>
    </row>
    <row r="6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82</v>
      </c>
    </row>
    <row r="7">
      <c r="A7" s="15" t="s">
        <v>19</v>
      </c>
      <c r="B7" s="7" t="s">
        <v>20</v>
      </c>
      <c r="C7" s="7" t="s">
        <v>21</v>
      </c>
      <c r="D7" s="7" t="s">
        <v>31</v>
      </c>
      <c r="E7" s="7" t="s">
        <v>22</v>
      </c>
      <c r="F7" s="2" t="s">
        <v>32</v>
      </c>
      <c r="G7" s="2" t="s">
        <v>83</v>
      </c>
      <c r="H7" s="2" t="s">
        <v>84</v>
      </c>
      <c r="I7" s="2" t="s">
        <v>33</v>
      </c>
      <c r="J7" s="2" t="s">
        <v>85</v>
      </c>
      <c r="K7" s="2" t="s">
        <v>86</v>
      </c>
      <c r="L7" s="2" t="s">
        <v>29</v>
      </c>
    </row>
    <row r="8">
      <c r="A8" s="15" t="s">
        <v>30</v>
      </c>
      <c r="B8" s="7" t="s">
        <v>20</v>
      </c>
      <c r="C8" s="7" t="s">
        <v>21</v>
      </c>
      <c r="D8" s="7" t="s">
        <v>87</v>
      </c>
      <c r="E8" s="7" t="s">
        <v>22</v>
      </c>
      <c r="F8" s="2" t="s">
        <v>88</v>
      </c>
      <c r="G8" s="2" t="s">
        <v>83</v>
      </c>
      <c r="H8" s="2" t="s">
        <v>84</v>
      </c>
      <c r="I8" s="2" t="s">
        <v>89</v>
      </c>
      <c r="J8" s="2" t="s">
        <v>90</v>
      </c>
      <c r="K8" s="2" t="s">
        <v>91</v>
      </c>
      <c r="L8" s="2" t="s">
        <v>92</v>
      </c>
    </row>
    <row r="9">
      <c r="A9" s="15" t="s">
        <v>37</v>
      </c>
      <c r="B9" s="7" t="s">
        <v>20</v>
      </c>
      <c r="C9" s="7" t="s">
        <v>21</v>
      </c>
      <c r="D9" s="7" t="s">
        <v>93</v>
      </c>
      <c r="E9" s="7" t="s">
        <v>22</v>
      </c>
      <c r="F9" s="2" t="s">
        <v>94</v>
      </c>
      <c r="G9" s="2" t="s">
        <v>83</v>
      </c>
      <c r="H9" s="2" t="s">
        <v>84</v>
      </c>
      <c r="I9" s="2" t="s">
        <v>95</v>
      </c>
      <c r="J9" s="2" t="s">
        <v>96</v>
      </c>
      <c r="K9" s="2" t="s">
        <v>97</v>
      </c>
      <c r="L9" s="16" t="s">
        <v>98</v>
      </c>
    </row>
    <row r="10">
      <c r="A10" s="15" t="s">
        <v>44</v>
      </c>
      <c r="B10" s="7" t="s">
        <v>20</v>
      </c>
      <c r="C10" s="7" t="s">
        <v>21</v>
      </c>
      <c r="D10" s="7" t="s">
        <v>99</v>
      </c>
      <c r="E10" s="7" t="s">
        <v>22</v>
      </c>
      <c r="F10" s="2" t="s">
        <v>100</v>
      </c>
      <c r="G10" s="2" t="s">
        <v>83</v>
      </c>
      <c r="H10" s="2" t="s">
        <v>84</v>
      </c>
      <c r="I10" s="2" t="s">
        <v>101</v>
      </c>
      <c r="J10" s="2" t="s">
        <v>102</v>
      </c>
      <c r="K10" s="2" t="s">
        <v>103</v>
      </c>
      <c r="L10" s="16" t="s">
        <v>104</v>
      </c>
    </row>
    <row r="11">
      <c r="A11" s="15" t="s">
        <v>51</v>
      </c>
      <c r="B11" s="7" t="s">
        <v>20</v>
      </c>
      <c r="C11" s="7" t="s">
        <v>21</v>
      </c>
      <c r="D11" s="7" t="s">
        <v>105</v>
      </c>
      <c r="E11" s="7" t="s">
        <v>22</v>
      </c>
      <c r="F11" s="2" t="s">
        <v>106</v>
      </c>
      <c r="G11" s="2" t="s">
        <v>83</v>
      </c>
      <c r="H11" s="2" t="s">
        <v>84</v>
      </c>
      <c r="I11" s="2" t="s">
        <v>107</v>
      </c>
      <c r="J11" s="2" t="s">
        <v>108</v>
      </c>
      <c r="K11" s="2" t="s">
        <v>109</v>
      </c>
      <c r="L11" s="16" t="s">
        <v>110</v>
      </c>
    </row>
    <row r="12">
      <c r="A12" s="15" t="s">
        <v>58</v>
      </c>
      <c r="B12" s="7" t="s">
        <v>20</v>
      </c>
      <c r="C12" s="7" t="s">
        <v>21</v>
      </c>
      <c r="D12" s="7" t="s">
        <v>111</v>
      </c>
      <c r="E12" s="7" t="s">
        <v>22</v>
      </c>
      <c r="F12" s="2" t="s">
        <v>112</v>
      </c>
      <c r="G12" s="2" t="s">
        <v>83</v>
      </c>
      <c r="H12" s="2" t="s">
        <v>84</v>
      </c>
      <c r="I12" s="2" t="s">
        <v>113</v>
      </c>
      <c r="J12" s="2" t="s">
        <v>114</v>
      </c>
      <c r="K12" s="2" t="s">
        <v>115</v>
      </c>
      <c r="L12" s="16" t="s">
        <v>116</v>
      </c>
    </row>
    <row r="13">
      <c r="A13" s="15" t="s">
        <v>65</v>
      </c>
      <c r="B13" s="7" t="s">
        <v>20</v>
      </c>
      <c r="C13" s="7" t="s">
        <v>21</v>
      </c>
      <c r="D13" s="7" t="s">
        <v>117</v>
      </c>
      <c r="E13" s="7" t="s">
        <v>22</v>
      </c>
      <c r="F13" s="2" t="s">
        <v>118</v>
      </c>
      <c r="G13" s="2" t="s">
        <v>83</v>
      </c>
      <c r="H13" s="2" t="s">
        <v>84</v>
      </c>
      <c r="I13" s="2" t="s">
        <v>119</v>
      </c>
      <c r="J13" s="2" t="s">
        <v>120</v>
      </c>
      <c r="K13" s="2" t="s">
        <v>121</v>
      </c>
      <c r="L13" s="16" t="s">
        <v>122</v>
      </c>
    </row>
    <row r="14">
      <c r="A14" s="15" t="s">
        <v>71</v>
      </c>
      <c r="B14" s="7" t="s">
        <v>20</v>
      </c>
      <c r="C14" s="7" t="s">
        <v>21</v>
      </c>
      <c r="D14" s="7" t="s">
        <v>123</v>
      </c>
      <c r="E14" s="7" t="s">
        <v>22</v>
      </c>
      <c r="F14" s="2" t="s">
        <v>124</v>
      </c>
      <c r="G14" s="2" t="s">
        <v>83</v>
      </c>
      <c r="H14" s="2" t="s">
        <v>84</v>
      </c>
      <c r="I14" s="2" t="s">
        <v>125</v>
      </c>
      <c r="J14" s="2" t="s">
        <v>34</v>
      </c>
      <c r="K14" s="2" t="s">
        <v>35</v>
      </c>
      <c r="L14" s="2" t="s">
        <v>70</v>
      </c>
    </row>
    <row r="15">
      <c r="A15" s="14"/>
      <c r="B15" s="14"/>
      <c r="C15" s="14"/>
      <c r="D15" s="14"/>
      <c r="K15" s="14"/>
      <c r="L15" s="14"/>
    </row>
    <row r="16">
      <c r="A16" s="14"/>
      <c r="B16" s="14"/>
      <c r="C16" s="14"/>
      <c r="D16" s="14"/>
      <c r="K16" s="14"/>
      <c r="L16" s="14"/>
    </row>
    <row r="17">
      <c r="G17" s="2" t="s">
        <v>126</v>
      </c>
      <c r="H17" s="2" t="s">
        <v>127</v>
      </c>
      <c r="I17" s="2" t="s">
        <v>128</v>
      </c>
      <c r="J17" s="2" t="s">
        <v>15</v>
      </c>
      <c r="K17" s="2" t="s">
        <v>129</v>
      </c>
      <c r="L17" s="2" t="s">
        <v>130</v>
      </c>
    </row>
    <row r="18">
      <c r="G18" s="2" t="s">
        <v>131</v>
      </c>
      <c r="H18" s="2" t="s">
        <v>88</v>
      </c>
      <c r="I18" s="2" t="s">
        <v>132</v>
      </c>
      <c r="J18" s="2" t="s">
        <v>89</v>
      </c>
      <c r="K18" s="2" t="s">
        <v>133</v>
      </c>
      <c r="L18" s="2" t="s">
        <v>134</v>
      </c>
    </row>
    <row r="19">
      <c r="G19" s="2" t="s">
        <v>135</v>
      </c>
      <c r="H19" s="2" t="s">
        <v>136</v>
      </c>
      <c r="I19" s="2" t="s">
        <v>132</v>
      </c>
      <c r="J19" s="2" t="s">
        <v>137</v>
      </c>
      <c r="K19" s="2" t="s">
        <v>138</v>
      </c>
      <c r="L19" s="2" t="s">
        <v>139</v>
      </c>
    </row>
    <row r="20">
      <c r="G20" s="2" t="s">
        <v>140</v>
      </c>
      <c r="H20" s="2" t="s">
        <v>141</v>
      </c>
      <c r="I20" s="2" t="s">
        <v>132</v>
      </c>
      <c r="J20" s="2" t="s">
        <v>142</v>
      </c>
      <c r="K20" s="2" t="s">
        <v>143</v>
      </c>
      <c r="L20" s="2" t="s">
        <v>144</v>
      </c>
    </row>
    <row r="21">
      <c r="G21" s="2" t="s">
        <v>145</v>
      </c>
      <c r="H21" s="2" t="s">
        <v>146</v>
      </c>
      <c r="I21" s="2" t="s">
        <v>132</v>
      </c>
      <c r="J21" s="2" t="s">
        <v>147</v>
      </c>
      <c r="K21" s="2" t="s">
        <v>148</v>
      </c>
      <c r="L21" s="2" t="s">
        <v>149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9.13"/>
    <col customWidth="1" min="3" max="3" width="30.25"/>
    <col customWidth="1" min="4" max="4" width="15.5"/>
    <col customWidth="1" min="7" max="7" width="22.75"/>
    <col customWidth="1" min="8" max="8" width="17.75"/>
    <col customWidth="1" min="9" max="9" width="16.25"/>
    <col customWidth="1" min="10" max="10" width="14.63"/>
    <col customWidth="1" min="11" max="11" width="15.75"/>
    <col customWidth="1" min="12" max="12" width="14.63"/>
    <col customWidth="1" min="13" max="13" width="14.0"/>
  </cols>
  <sheetData>
    <row r="1">
      <c r="A1" s="5" t="s">
        <v>150</v>
      </c>
      <c r="B1" s="17" t="s">
        <v>151</v>
      </c>
      <c r="C1" s="18"/>
    </row>
    <row r="2">
      <c r="A2" s="19" t="s">
        <v>77</v>
      </c>
      <c r="B2" s="20" t="s">
        <v>152</v>
      </c>
      <c r="C2" s="18"/>
    </row>
    <row r="3">
      <c r="A3" s="19" t="s">
        <v>153</v>
      </c>
      <c r="B3" s="21" t="s">
        <v>154</v>
      </c>
      <c r="C3" s="18"/>
    </row>
    <row r="6">
      <c r="A6" s="22" t="s">
        <v>155</v>
      </c>
      <c r="B6" s="22" t="s">
        <v>156</v>
      </c>
      <c r="C6" s="22" t="s">
        <v>157</v>
      </c>
      <c r="D6" s="22" t="s">
        <v>158</v>
      </c>
      <c r="E6" s="22" t="s">
        <v>159</v>
      </c>
      <c r="F6" s="22" t="s">
        <v>160</v>
      </c>
      <c r="G6" s="22" t="s">
        <v>161</v>
      </c>
      <c r="H6" s="22" t="s">
        <v>14</v>
      </c>
      <c r="I6" s="22" t="s">
        <v>162</v>
      </c>
      <c r="J6" s="22" t="s">
        <v>12</v>
      </c>
      <c r="K6" s="22" t="s">
        <v>15</v>
      </c>
      <c r="L6" s="22" t="s">
        <v>16</v>
      </c>
      <c r="M6" s="22" t="s">
        <v>17</v>
      </c>
    </row>
    <row r="7">
      <c r="A7" s="2" t="s">
        <v>163</v>
      </c>
      <c r="B7" s="2">
        <v>198.0</v>
      </c>
      <c r="C7" s="2">
        <v>248.0</v>
      </c>
      <c r="D7" s="2" t="s">
        <v>164</v>
      </c>
      <c r="E7" s="2">
        <v>10.0</v>
      </c>
      <c r="F7" s="2">
        <v>8.0</v>
      </c>
      <c r="G7" s="2">
        <v>254.0</v>
      </c>
      <c r="H7" s="2" t="s">
        <v>165</v>
      </c>
      <c r="I7" s="2" t="s">
        <v>166</v>
      </c>
      <c r="J7" s="2" t="s">
        <v>94</v>
      </c>
      <c r="K7" s="2" t="s">
        <v>95</v>
      </c>
      <c r="L7" s="2" t="s">
        <v>167</v>
      </c>
      <c r="M7" s="2" t="s">
        <v>168</v>
      </c>
    </row>
    <row r="8">
      <c r="A8" s="2" t="s">
        <v>169</v>
      </c>
      <c r="B8" s="2">
        <v>100.0</v>
      </c>
      <c r="C8" s="2">
        <v>125.0</v>
      </c>
      <c r="D8" s="2" t="s">
        <v>170</v>
      </c>
      <c r="E8" s="2">
        <v>11.0</v>
      </c>
      <c r="F8" s="2">
        <v>7.0</v>
      </c>
      <c r="G8" s="2">
        <v>126.0</v>
      </c>
      <c r="H8" s="2" t="s">
        <v>171</v>
      </c>
      <c r="I8" s="2" t="s">
        <v>172</v>
      </c>
      <c r="J8" s="2" t="s">
        <v>173</v>
      </c>
      <c r="K8" s="2" t="s">
        <v>174</v>
      </c>
      <c r="L8" s="2" t="s">
        <v>175</v>
      </c>
      <c r="M8" s="2" t="s">
        <v>176</v>
      </c>
    </row>
    <row r="9">
      <c r="A9" s="2" t="s">
        <v>177</v>
      </c>
      <c r="B9" s="2">
        <v>41.0</v>
      </c>
      <c r="C9" s="2">
        <v>52.0</v>
      </c>
      <c r="D9" s="2" t="s">
        <v>178</v>
      </c>
      <c r="E9" s="2">
        <v>12.0</v>
      </c>
      <c r="F9" s="2">
        <v>6.0</v>
      </c>
      <c r="G9" s="2">
        <v>62.0</v>
      </c>
      <c r="H9" s="2" t="s">
        <v>179</v>
      </c>
      <c r="I9" s="2" t="s">
        <v>180</v>
      </c>
      <c r="J9" s="2" t="s">
        <v>181</v>
      </c>
      <c r="K9" s="2" t="s">
        <v>182</v>
      </c>
      <c r="L9" s="2" t="s">
        <v>183</v>
      </c>
      <c r="M9" s="2" t="s">
        <v>184</v>
      </c>
    </row>
    <row r="10">
      <c r="A10" s="2" t="s">
        <v>185</v>
      </c>
      <c r="B10" s="2">
        <v>31.0</v>
      </c>
      <c r="C10" s="2">
        <v>39.0</v>
      </c>
      <c r="D10" s="2" t="s">
        <v>186</v>
      </c>
      <c r="E10" s="2">
        <v>13.0</v>
      </c>
      <c r="F10" s="2">
        <v>6.0</v>
      </c>
      <c r="G10" s="2">
        <v>62.0</v>
      </c>
      <c r="H10" s="2" t="s">
        <v>179</v>
      </c>
      <c r="I10" s="2" t="s">
        <v>180</v>
      </c>
      <c r="J10" s="2" t="s">
        <v>187</v>
      </c>
      <c r="K10" s="2" t="s">
        <v>188</v>
      </c>
      <c r="L10" s="2" t="s">
        <v>189</v>
      </c>
      <c r="M10" s="2" t="s">
        <v>190</v>
      </c>
    </row>
    <row r="11">
      <c r="A11" s="2" t="s">
        <v>191</v>
      </c>
      <c r="B11" s="2">
        <v>29.0</v>
      </c>
      <c r="C11" s="2">
        <v>37.0</v>
      </c>
      <c r="D11" s="2" t="s">
        <v>192</v>
      </c>
      <c r="E11" s="2">
        <v>14.0</v>
      </c>
      <c r="F11" s="2">
        <v>6.0</v>
      </c>
      <c r="G11" s="2">
        <v>62.0</v>
      </c>
      <c r="H11" s="2" t="s">
        <v>179</v>
      </c>
      <c r="I11" s="2" t="s">
        <v>180</v>
      </c>
      <c r="J11" s="2" t="s">
        <v>193</v>
      </c>
      <c r="K11" s="2" t="s">
        <v>194</v>
      </c>
      <c r="L11" s="2" t="s">
        <v>195</v>
      </c>
      <c r="M11" s="2" t="s">
        <v>196</v>
      </c>
    </row>
    <row r="12">
      <c r="A12" s="2" t="s">
        <v>197</v>
      </c>
      <c r="B12" s="2">
        <v>25.0</v>
      </c>
      <c r="C12" s="2">
        <v>32.0</v>
      </c>
      <c r="D12" s="2" t="s">
        <v>198</v>
      </c>
      <c r="E12" s="2">
        <v>15.0</v>
      </c>
      <c r="F12" s="2">
        <v>6.0</v>
      </c>
      <c r="G12" s="2">
        <v>62.0</v>
      </c>
      <c r="H12" s="2" t="s">
        <v>179</v>
      </c>
      <c r="I12" s="2" t="s">
        <v>180</v>
      </c>
      <c r="J12" s="2" t="s">
        <v>199</v>
      </c>
      <c r="K12" s="2" t="s">
        <v>200</v>
      </c>
      <c r="L12" s="2" t="s">
        <v>201</v>
      </c>
      <c r="M12" s="2" t="s">
        <v>202</v>
      </c>
    </row>
    <row r="13">
      <c r="A13" s="2" t="s">
        <v>203</v>
      </c>
      <c r="B13" s="2">
        <v>18.0</v>
      </c>
      <c r="C13" s="2">
        <v>23.0</v>
      </c>
      <c r="D13" s="2" t="s">
        <v>204</v>
      </c>
      <c r="E13" s="2">
        <v>16.0</v>
      </c>
      <c r="F13" s="2">
        <v>5.0</v>
      </c>
      <c r="G13" s="2">
        <v>30.0</v>
      </c>
      <c r="H13" s="2" t="s">
        <v>205</v>
      </c>
      <c r="I13" s="2" t="s">
        <v>206</v>
      </c>
      <c r="J13" s="2" t="s">
        <v>207</v>
      </c>
      <c r="K13" s="2" t="s">
        <v>208</v>
      </c>
      <c r="L13" s="2" t="s">
        <v>209</v>
      </c>
      <c r="M13" s="2" t="s">
        <v>210</v>
      </c>
    </row>
    <row r="14">
      <c r="A14" s="2" t="s">
        <v>211</v>
      </c>
      <c r="B14" s="2">
        <v>15.0</v>
      </c>
      <c r="C14" s="2">
        <v>19.0</v>
      </c>
      <c r="D14" s="2" t="s">
        <v>212</v>
      </c>
      <c r="E14" s="2">
        <v>99.0</v>
      </c>
      <c r="F14" s="2">
        <v>5.0</v>
      </c>
      <c r="G14" s="2">
        <v>30.0</v>
      </c>
      <c r="H14" s="2" t="s">
        <v>205</v>
      </c>
      <c r="I14" s="2" t="s">
        <v>206</v>
      </c>
      <c r="J14" s="2" t="s">
        <v>213</v>
      </c>
      <c r="K14" s="2" t="s">
        <v>214</v>
      </c>
      <c r="L14" s="2" t="s">
        <v>215</v>
      </c>
      <c r="M14" s="2" t="s">
        <v>216</v>
      </c>
    </row>
    <row r="15">
      <c r="A15" s="2" t="s">
        <v>217</v>
      </c>
      <c r="B15" s="2">
        <v>10.0</v>
      </c>
      <c r="C15" s="2">
        <v>13.0</v>
      </c>
      <c r="D15" s="2" t="s">
        <v>218</v>
      </c>
      <c r="E15" s="2">
        <v>17.0</v>
      </c>
      <c r="F15" s="2">
        <v>4.0</v>
      </c>
      <c r="G15" s="2">
        <v>14.0</v>
      </c>
      <c r="H15" s="2" t="s">
        <v>219</v>
      </c>
      <c r="I15" s="2" t="s">
        <v>220</v>
      </c>
      <c r="J15" s="2" t="s">
        <v>221</v>
      </c>
      <c r="K15" s="2" t="s">
        <v>222</v>
      </c>
      <c r="L15" s="2" t="s">
        <v>223</v>
      </c>
      <c r="M15" s="2" t="s">
        <v>224</v>
      </c>
    </row>
    <row r="16">
      <c r="A16" s="23" t="s">
        <v>225</v>
      </c>
      <c r="B16" s="24">
        <f t="shared" ref="B16:C16" si="1">SUM(B7:B15)</f>
        <v>467</v>
      </c>
      <c r="C16" s="24">
        <f t="shared" si="1"/>
        <v>588</v>
      </c>
    </row>
  </sheetData>
  <mergeCells count="3">
    <mergeCell ref="B1:C1"/>
    <mergeCell ref="B2:C2"/>
    <mergeCell ref="B3:C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25.88"/>
    <col customWidth="1" min="3" max="3" width="51.63"/>
    <col customWidth="1" min="4" max="4" width="23.25"/>
    <col customWidth="1" min="5" max="5" width="13.13"/>
    <col customWidth="1" min="7" max="7" width="18.25"/>
    <col customWidth="1" min="8" max="8" width="25.25"/>
    <col customWidth="1" min="9" max="9" width="21.38"/>
    <col customWidth="1" min="10" max="10" width="19.13"/>
    <col customWidth="1" min="11" max="11" width="20.75"/>
    <col customWidth="1" min="12" max="12" width="18.88"/>
    <col customWidth="1" min="13" max="13" width="20.88"/>
  </cols>
  <sheetData>
    <row r="1">
      <c r="A1" s="25" t="s">
        <v>150</v>
      </c>
      <c r="B1" s="26" t="s">
        <v>226</v>
      </c>
      <c r="C1" s="27"/>
      <c r="D1" s="18"/>
      <c r="E1" s="28"/>
      <c r="F1" s="28"/>
      <c r="G1" s="28"/>
      <c r="H1" s="28"/>
      <c r="I1" s="28"/>
      <c r="J1" s="28"/>
      <c r="K1" s="28"/>
      <c r="L1" s="28"/>
      <c r="M1" s="28"/>
    </row>
    <row r="2">
      <c r="A2" s="25" t="s">
        <v>77</v>
      </c>
      <c r="B2" s="29" t="s">
        <v>104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>
      <c r="A3" s="25" t="s">
        <v>79</v>
      </c>
      <c r="B3" s="29" t="s">
        <v>227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>
      <c r="A6" s="30" t="s">
        <v>155</v>
      </c>
      <c r="B6" s="30" t="s">
        <v>156</v>
      </c>
      <c r="C6" s="30" t="s">
        <v>157</v>
      </c>
      <c r="D6" s="30" t="s">
        <v>158</v>
      </c>
      <c r="E6" s="30" t="s">
        <v>159</v>
      </c>
      <c r="F6" s="30" t="s">
        <v>160</v>
      </c>
      <c r="G6" s="30" t="s">
        <v>161</v>
      </c>
      <c r="H6" s="30" t="s">
        <v>14</v>
      </c>
      <c r="I6" s="30" t="s">
        <v>162</v>
      </c>
      <c r="J6" s="30" t="s">
        <v>127</v>
      </c>
      <c r="K6" s="30" t="s">
        <v>15</v>
      </c>
      <c r="L6" s="30" t="s">
        <v>16</v>
      </c>
      <c r="M6" s="30" t="s">
        <v>228</v>
      </c>
    </row>
    <row r="7">
      <c r="A7" s="31" t="s">
        <v>163</v>
      </c>
      <c r="B7" s="31">
        <v>70.0</v>
      </c>
      <c r="C7" s="31">
        <v>88.0</v>
      </c>
      <c r="D7" s="31" t="s">
        <v>164</v>
      </c>
      <c r="E7" s="31">
        <v>30.0</v>
      </c>
      <c r="F7" s="31">
        <v>7.0</v>
      </c>
      <c r="G7" s="31">
        <v>126.0</v>
      </c>
      <c r="H7" s="31" t="s">
        <v>171</v>
      </c>
      <c r="I7" s="31" t="s">
        <v>172</v>
      </c>
      <c r="J7" s="31" t="s">
        <v>100</v>
      </c>
      <c r="K7" s="31" t="s">
        <v>101</v>
      </c>
      <c r="L7" s="31" t="s">
        <v>229</v>
      </c>
      <c r="M7" s="31" t="s">
        <v>230</v>
      </c>
    </row>
    <row r="8">
      <c r="A8" s="31" t="s">
        <v>169</v>
      </c>
      <c r="B8" s="31">
        <v>35.0</v>
      </c>
      <c r="C8" s="31">
        <v>44.0</v>
      </c>
      <c r="D8" s="31" t="s">
        <v>170</v>
      </c>
      <c r="E8" s="31">
        <v>31.0</v>
      </c>
      <c r="F8" s="31">
        <v>6.0</v>
      </c>
      <c r="G8" s="31">
        <v>62.0</v>
      </c>
      <c r="H8" s="31" t="s">
        <v>179</v>
      </c>
      <c r="I8" s="31" t="s">
        <v>180</v>
      </c>
      <c r="J8" s="31" t="s">
        <v>231</v>
      </c>
      <c r="K8" s="31" t="s">
        <v>232</v>
      </c>
      <c r="L8" s="31" t="s">
        <v>233</v>
      </c>
      <c r="M8" s="31" t="s">
        <v>234</v>
      </c>
    </row>
    <row r="9">
      <c r="A9" s="31" t="s">
        <v>177</v>
      </c>
      <c r="B9" s="31">
        <v>15.0</v>
      </c>
      <c r="C9" s="31">
        <v>19.0</v>
      </c>
      <c r="D9" s="31" t="s">
        <v>178</v>
      </c>
      <c r="E9" s="31">
        <v>32.0</v>
      </c>
      <c r="F9" s="31">
        <v>5.0</v>
      </c>
      <c r="G9" s="31">
        <v>30.0</v>
      </c>
      <c r="H9" s="31" t="s">
        <v>205</v>
      </c>
      <c r="I9" s="31" t="s">
        <v>206</v>
      </c>
      <c r="J9" s="31" t="s">
        <v>235</v>
      </c>
      <c r="K9" s="31" t="s">
        <v>236</v>
      </c>
      <c r="L9" s="31" t="s">
        <v>237</v>
      </c>
      <c r="M9" s="31" t="s">
        <v>238</v>
      </c>
    </row>
    <row r="10">
      <c r="A10" s="31" t="s">
        <v>185</v>
      </c>
      <c r="B10" s="31">
        <v>11.0</v>
      </c>
      <c r="C10" s="31">
        <v>14.0</v>
      </c>
      <c r="D10" s="31" t="s">
        <v>186</v>
      </c>
      <c r="E10" s="31">
        <v>33.0</v>
      </c>
      <c r="F10" s="31">
        <v>4.0</v>
      </c>
      <c r="G10" s="31">
        <v>14.0</v>
      </c>
      <c r="H10" s="31" t="s">
        <v>219</v>
      </c>
      <c r="I10" s="31" t="s">
        <v>220</v>
      </c>
      <c r="J10" s="31" t="s">
        <v>239</v>
      </c>
      <c r="K10" s="31" t="s">
        <v>240</v>
      </c>
      <c r="L10" s="31" t="s">
        <v>241</v>
      </c>
      <c r="M10" s="31" t="s">
        <v>242</v>
      </c>
    </row>
    <row r="11">
      <c r="A11" s="31" t="s">
        <v>191</v>
      </c>
      <c r="B11" s="31">
        <v>10.0</v>
      </c>
      <c r="C11" s="31">
        <v>13.0</v>
      </c>
      <c r="D11" s="31" t="s">
        <v>192</v>
      </c>
      <c r="E11" s="31">
        <v>34.0</v>
      </c>
      <c r="F11" s="31">
        <v>4.0</v>
      </c>
      <c r="G11" s="31">
        <v>14.0</v>
      </c>
      <c r="H11" s="31" t="s">
        <v>219</v>
      </c>
      <c r="I11" s="31" t="s">
        <v>220</v>
      </c>
      <c r="J11" s="31" t="s">
        <v>243</v>
      </c>
      <c r="K11" s="31" t="s">
        <v>244</v>
      </c>
      <c r="L11" s="31" t="s">
        <v>245</v>
      </c>
      <c r="M11" s="31" t="s">
        <v>246</v>
      </c>
    </row>
    <row r="12">
      <c r="A12" s="31" t="s">
        <v>197</v>
      </c>
      <c r="B12" s="31">
        <v>9.0</v>
      </c>
      <c r="C12" s="31">
        <v>12.0</v>
      </c>
      <c r="D12" s="31" t="s">
        <v>198</v>
      </c>
      <c r="E12" s="31">
        <v>35.0</v>
      </c>
      <c r="F12" s="31">
        <v>4.0</v>
      </c>
      <c r="G12" s="31">
        <v>14.0</v>
      </c>
      <c r="H12" s="31" t="s">
        <v>219</v>
      </c>
      <c r="I12" s="31" t="s">
        <v>220</v>
      </c>
      <c r="J12" s="31" t="s">
        <v>247</v>
      </c>
      <c r="K12" s="31" t="s">
        <v>248</v>
      </c>
      <c r="L12" s="31" t="s">
        <v>249</v>
      </c>
      <c r="M12" s="31" t="s">
        <v>250</v>
      </c>
    </row>
    <row r="13">
      <c r="A13" s="31" t="s">
        <v>203</v>
      </c>
      <c r="B13" s="31">
        <v>6.0</v>
      </c>
      <c r="C13" s="31">
        <v>8.0</v>
      </c>
      <c r="D13" s="31" t="s">
        <v>204</v>
      </c>
      <c r="E13" s="31">
        <v>36.0</v>
      </c>
      <c r="F13" s="31">
        <v>4.0</v>
      </c>
      <c r="G13" s="31">
        <v>14.0</v>
      </c>
      <c r="H13" s="31" t="s">
        <v>219</v>
      </c>
      <c r="I13" s="31" t="s">
        <v>220</v>
      </c>
      <c r="J13" s="31" t="s">
        <v>251</v>
      </c>
      <c r="K13" s="31" t="s">
        <v>252</v>
      </c>
      <c r="L13" s="31" t="s">
        <v>253</v>
      </c>
      <c r="M13" s="31" t="s">
        <v>254</v>
      </c>
    </row>
    <row r="14">
      <c r="A14" s="31" t="s">
        <v>211</v>
      </c>
      <c r="B14" s="31">
        <v>2.0</v>
      </c>
      <c r="C14" s="31">
        <v>3.0</v>
      </c>
      <c r="D14" s="31" t="s">
        <v>212</v>
      </c>
      <c r="E14" s="31">
        <v>99.0</v>
      </c>
      <c r="F14" s="31">
        <v>3.0</v>
      </c>
      <c r="G14" s="31">
        <v>6.0</v>
      </c>
      <c r="H14" s="31" t="s">
        <v>255</v>
      </c>
      <c r="I14" s="31" t="s">
        <v>256</v>
      </c>
      <c r="J14" s="31" t="s">
        <v>257</v>
      </c>
      <c r="K14" s="31" t="s">
        <v>258</v>
      </c>
      <c r="L14" s="31" t="s">
        <v>259</v>
      </c>
      <c r="M14" s="31" t="s">
        <v>260</v>
      </c>
    </row>
    <row r="15">
      <c r="A15" s="31" t="s">
        <v>217</v>
      </c>
      <c r="B15" s="31">
        <v>2.0</v>
      </c>
      <c r="C15" s="31">
        <v>3.0</v>
      </c>
      <c r="D15" s="31" t="s">
        <v>218</v>
      </c>
      <c r="E15" s="31">
        <v>37.0</v>
      </c>
      <c r="F15" s="31">
        <v>3.0</v>
      </c>
      <c r="G15" s="31">
        <v>6.0</v>
      </c>
      <c r="H15" s="31" t="s">
        <v>255</v>
      </c>
      <c r="I15" s="31" t="s">
        <v>256</v>
      </c>
      <c r="J15" s="31" t="s">
        <v>261</v>
      </c>
      <c r="K15" s="31" t="s">
        <v>262</v>
      </c>
      <c r="L15" s="31" t="s">
        <v>263</v>
      </c>
      <c r="M15" s="31" t="s">
        <v>264</v>
      </c>
    </row>
    <row r="16">
      <c r="A16" s="25" t="s">
        <v>225</v>
      </c>
      <c r="B16" s="32">
        <f>SUM(B7:B15)</f>
        <v>160</v>
      </c>
      <c r="C16" s="32">
        <v>204.0</v>
      </c>
      <c r="D16" s="28"/>
      <c r="E16" s="28"/>
      <c r="F16" s="28"/>
      <c r="G16" s="32">
        <v>286.0</v>
      </c>
      <c r="H16" s="28"/>
      <c r="I16" s="28"/>
      <c r="J16" s="28"/>
      <c r="K16" s="28"/>
      <c r="L16" s="28"/>
      <c r="M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>
      <c r="A18" s="25" t="s">
        <v>265</v>
      </c>
      <c r="B18" s="29" t="s">
        <v>266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</sheetData>
  <mergeCells count="1">
    <mergeCell ref="B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9.13"/>
    <col customWidth="1" min="3" max="3" width="31.38"/>
    <col customWidth="1" min="4" max="4" width="24.88"/>
    <col customWidth="1" min="5" max="5" width="41.25"/>
    <col customWidth="1" min="6" max="6" width="17.5"/>
    <col customWidth="1" min="7" max="7" width="18.5"/>
    <col customWidth="1" min="8" max="8" width="15.25"/>
    <col customWidth="1" min="9" max="9" width="14.38"/>
    <col customWidth="1" min="10" max="10" width="14.25"/>
    <col customWidth="1" min="11" max="11" width="20.38"/>
  </cols>
  <sheetData>
    <row r="1">
      <c r="A1" s="25" t="s">
        <v>150</v>
      </c>
      <c r="B1" s="26" t="s">
        <v>267</v>
      </c>
      <c r="C1" s="27"/>
      <c r="D1" s="1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</row>
    <row r="2">
      <c r="A2" s="25" t="s">
        <v>77</v>
      </c>
      <c r="B2" s="29" t="s">
        <v>110</v>
      </c>
      <c r="C2" s="33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</row>
    <row r="3">
      <c r="A3" s="25" t="s">
        <v>79</v>
      </c>
      <c r="B3" s="29" t="s">
        <v>268</v>
      </c>
      <c r="C3" s="33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</row>
    <row r="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</row>
    <row r="6">
      <c r="A6" s="30" t="s">
        <v>155</v>
      </c>
      <c r="B6" s="30" t="s">
        <v>156</v>
      </c>
      <c r="C6" s="30" t="s">
        <v>157</v>
      </c>
      <c r="D6" s="30" t="s">
        <v>158</v>
      </c>
      <c r="E6" s="30" t="s">
        <v>159</v>
      </c>
      <c r="F6" s="30" t="s">
        <v>160</v>
      </c>
      <c r="G6" s="30" t="s">
        <v>161</v>
      </c>
      <c r="H6" s="30" t="s">
        <v>14</v>
      </c>
      <c r="I6" s="30" t="s">
        <v>162</v>
      </c>
      <c r="J6" s="30" t="s">
        <v>127</v>
      </c>
      <c r="K6" s="30" t="s">
        <v>15</v>
      </c>
      <c r="L6" s="30" t="s">
        <v>16</v>
      </c>
      <c r="M6" s="30" t="s">
        <v>228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</row>
    <row r="7" ht="24.75" customHeight="1">
      <c r="A7" s="31" t="s">
        <v>163</v>
      </c>
      <c r="B7" s="31">
        <v>78.0</v>
      </c>
      <c r="C7" s="31">
        <v>98.0</v>
      </c>
      <c r="D7" s="31" t="s">
        <v>164</v>
      </c>
      <c r="E7" s="31">
        <v>20.0</v>
      </c>
      <c r="F7" s="31">
        <v>7.0</v>
      </c>
      <c r="G7" s="31">
        <v>126.0</v>
      </c>
      <c r="H7" s="31" t="s">
        <v>171</v>
      </c>
      <c r="I7" s="31" t="s">
        <v>172</v>
      </c>
      <c r="J7" s="31" t="s">
        <v>106</v>
      </c>
      <c r="K7" s="31" t="s">
        <v>107</v>
      </c>
      <c r="L7" s="31" t="s">
        <v>269</v>
      </c>
      <c r="M7" s="31" t="s">
        <v>270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</row>
    <row r="8" ht="22.5" customHeight="1">
      <c r="A8" s="31" t="s">
        <v>169</v>
      </c>
      <c r="B8" s="31">
        <v>40.0</v>
      </c>
      <c r="C8" s="31">
        <v>50.0</v>
      </c>
      <c r="D8" s="31" t="s">
        <v>170</v>
      </c>
      <c r="E8" s="31">
        <v>21.0</v>
      </c>
      <c r="F8" s="31">
        <v>6.0</v>
      </c>
      <c r="G8" s="31">
        <v>62.0</v>
      </c>
      <c r="H8" s="31" t="s">
        <v>179</v>
      </c>
      <c r="I8" s="31" t="s">
        <v>180</v>
      </c>
      <c r="J8" s="31" t="s">
        <v>271</v>
      </c>
      <c r="K8" s="31" t="s">
        <v>272</v>
      </c>
      <c r="L8" s="31" t="s">
        <v>273</v>
      </c>
      <c r="M8" s="31" t="s">
        <v>274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</row>
    <row r="9">
      <c r="A9" s="31" t="s">
        <v>177</v>
      </c>
      <c r="B9" s="31">
        <v>16.0</v>
      </c>
      <c r="C9" s="31">
        <v>20.0</v>
      </c>
      <c r="D9" s="31" t="s">
        <v>178</v>
      </c>
      <c r="E9" s="31">
        <v>22.0</v>
      </c>
      <c r="F9" s="31">
        <v>5.0</v>
      </c>
      <c r="G9" s="31">
        <v>30.0</v>
      </c>
      <c r="H9" s="31" t="s">
        <v>205</v>
      </c>
      <c r="I9" s="31" t="s">
        <v>206</v>
      </c>
      <c r="J9" s="31" t="s">
        <v>275</v>
      </c>
      <c r="K9" s="31" t="s">
        <v>276</v>
      </c>
      <c r="L9" s="31" t="s">
        <v>277</v>
      </c>
      <c r="M9" s="31" t="s">
        <v>278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</row>
    <row r="10">
      <c r="A10" s="31" t="s">
        <v>185</v>
      </c>
      <c r="B10" s="31">
        <v>12.0</v>
      </c>
      <c r="C10" s="31">
        <v>15.0</v>
      </c>
      <c r="D10" s="31" t="s">
        <v>186</v>
      </c>
      <c r="E10" s="31">
        <v>23.0</v>
      </c>
      <c r="F10" s="31">
        <v>5.0</v>
      </c>
      <c r="G10" s="31">
        <v>30.0</v>
      </c>
      <c r="H10" s="31" t="s">
        <v>205</v>
      </c>
      <c r="I10" s="31" t="s">
        <v>206</v>
      </c>
      <c r="J10" s="31" t="s">
        <v>279</v>
      </c>
      <c r="K10" s="31" t="s">
        <v>280</v>
      </c>
      <c r="L10" s="31" t="s">
        <v>281</v>
      </c>
      <c r="M10" s="31" t="s">
        <v>282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</row>
    <row r="11">
      <c r="A11" s="31" t="s">
        <v>191</v>
      </c>
      <c r="B11" s="31">
        <v>11.0</v>
      </c>
      <c r="C11" s="31">
        <v>14.0</v>
      </c>
      <c r="D11" s="31" t="s">
        <v>192</v>
      </c>
      <c r="E11" s="31">
        <v>24.0</v>
      </c>
      <c r="F11" s="31">
        <v>4.0</v>
      </c>
      <c r="G11" s="31">
        <v>14.0</v>
      </c>
      <c r="H11" s="31" t="s">
        <v>219</v>
      </c>
      <c r="I11" s="31" t="s">
        <v>220</v>
      </c>
      <c r="J11" s="31" t="s">
        <v>283</v>
      </c>
      <c r="K11" s="31" t="s">
        <v>284</v>
      </c>
      <c r="L11" s="31" t="s">
        <v>285</v>
      </c>
      <c r="M11" s="31" t="s">
        <v>286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</row>
    <row r="12">
      <c r="A12" s="31" t="s">
        <v>197</v>
      </c>
      <c r="B12" s="31">
        <v>10.0</v>
      </c>
      <c r="C12" s="31">
        <v>13.0</v>
      </c>
      <c r="D12" s="31" t="s">
        <v>198</v>
      </c>
      <c r="E12" s="31">
        <v>25.0</v>
      </c>
      <c r="F12" s="31">
        <v>4.0</v>
      </c>
      <c r="G12" s="31">
        <v>14.0</v>
      </c>
      <c r="H12" s="31" t="s">
        <v>219</v>
      </c>
      <c r="I12" s="31" t="s">
        <v>220</v>
      </c>
      <c r="J12" s="31" t="s">
        <v>287</v>
      </c>
      <c r="K12" s="31" t="s">
        <v>288</v>
      </c>
      <c r="L12" s="31" t="s">
        <v>289</v>
      </c>
      <c r="M12" s="31" t="s">
        <v>290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</row>
    <row r="13">
      <c r="A13" s="31" t="s">
        <v>211</v>
      </c>
      <c r="B13" s="31">
        <v>10.0</v>
      </c>
      <c r="C13" s="31">
        <v>13.0</v>
      </c>
      <c r="D13" s="31" t="s">
        <v>212</v>
      </c>
      <c r="E13" s="31">
        <v>99.0</v>
      </c>
      <c r="F13" s="31">
        <v>4.0</v>
      </c>
      <c r="G13" s="31">
        <v>14.0</v>
      </c>
      <c r="H13" s="31" t="s">
        <v>219</v>
      </c>
      <c r="I13" s="31" t="s">
        <v>220</v>
      </c>
      <c r="J13" s="31" t="s">
        <v>291</v>
      </c>
      <c r="K13" s="31" t="s">
        <v>292</v>
      </c>
      <c r="L13" s="31" t="s">
        <v>293</v>
      </c>
      <c r="M13" s="31" t="s">
        <v>294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</row>
    <row r="14">
      <c r="A14" s="31" t="s">
        <v>203</v>
      </c>
      <c r="B14" s="31">
        <v>8.0</v>
      </c>
      <c r="C14" s="31">
        <v>10.0</v>
      </c>
      <c r="D14" s="31" t="s">
        <v>204</v>
      </c>
      <c r="E14" s="31">
        <v>26.0</v>
      </c>
      <c r="F14" s="31">
        <v>4.0</v>
      </c>
      <c r="G14" s="31">
        <v>14.0</v>
      </c>
      <c r="H14" s="31" t="s">
        <v>219</v>
      </c>
      <c r="I14" s="31" t="s">
        <v>220</v>
      </c>
      <c r="J14" s="31" t="s">
        <v>295</v>
      </c>
      <c r="K14" s="31" t="s">
        <v>296</v>
      </c>
      <c r="L14" s="31" t="s">
        <v>297</v>
      </c>
      <c r="M14" s="31" t="s">
        <v>298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</row>
    <row r="15">
      <c r="A15" s="31" t="s">
        <v>217</v>
      </c>
      <c r="B15" s="31">
        <v>5.0</v>
      </c>
      <c r="C15" s="31">
        <v>7.0</v>
      </c>
      <c r="D15" s="31" t="s">
        <v>218</v>
      </c>
      <c r="E15" s="31">
        <v>27.0</v>
      </c>
      <c r="F15" s="31">
        <v>4.0</v>
      </c>
      <c r="G15" s="31">
        <v>14.0</v>
      </c>
      <c r="H15" s="31" t="s">
        <v>219</v>
      </c>
      <c r="I15" s="31" t="s">
        <v>220</v>
      </c>
      <c r="J15" s="31" t="s">
        <v>299</v>
      </c>
      <c r="K15" s="31" t="s">
        <v>300</v>
      </c>
      <c r="L15" s="31" t="s">
        <v>301</v>
      </c>
      <c r="M15" s="31" t="s">
        <v>302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</row>
    <row r="16">
      <c r="A16" s="25" t="s">
        <v>225</v>
      </c>
      <c r="B16" s="32">
        <v>190.0</v>
      </c>
      <c r="C16" s="32">
        <v>240.0</v>
      </c>
      <c r="D16" s="33"/>
      <c r="E16" s="33"/>
      <c r="F16" s="33"/>
      <c r="G16" s="32">
        <v>318.0</v>
      </c>
      <c r="H16" s="33"/>
      <c r="I16" s="33"/>
      <c r="J16" s="33"/>
      <c r="K16" s="33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</row>
    <row r="18">
      <c r="A18" s="25" t="s">
        <v>265</v>
      </c>
      <c r="B18" s="29" t="s">
        <v>303</v>
      </c>
      <c r="C18" s="33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</row>
    <row r="19">
      <c r="J19" s="34"/>
    </row>
  </sheetData>
  <mergeCells count="1">
    <mergeCell ref="B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3" width="16.38"/>
    <col customWidth="1" min="9" max="13" width="17.0"/>
  </cols>
  <sheetData>
    <row r="1">
      <c r="A1" s="25" t="s">
        <v>150</v>
      </c>
      <c r="B1" s="26" t="s">
        <v>304</v>
      </c>
      <c r="C1" s="27"/>
      <c r="D1" s="18"/>
      <c r="E1" s="28"/>
      <c r="F1" s="28"/>
      <c r="G1" s="28"/>
      <c r="H1" s="28"/>
      <c r="I1" s="28"/>
      <c r="J1" s="28"/>
      <c r="K1" s="28"/>
      <c r="L1" s="28"/>
      <c r="M1" s="28"/>
    </row>
    <row r="2">
      <c r="A2" s="25" t="s">
        <v>77</v>
      </c>
      <c r="B2" s="29" t="s">
        <v>116</v>
      </c>
      <c r="C2" s="33"/>
      <c r="D2" s="28"/>
      <c r="E2" s="28"/>
      <c r="F2" s="28"/>
      <c r="G2" s="28"/>
      <c r="H2" s="28"/>
      <c r="I2" s="28"/>
      <c r="J2" s="28"/>
      <c r="K2" s="28"/>
      <c r="L2" s="28"/>
      <c r="M2" s="28"/>
    </row>
    <row r="3">
      <c r="A3" s="25" t="s">
        <v>79</v>
      </c>
      <c r="B3" s="29" t="s">
        <v>305</v>
      </c>
      <c r="C3" s="33"/>
      <c r="D3" s="28"/>
      <c r="E3" s="28"/>
      <c r="F3" s="28"/>
      <c r="G3" s="28"/>
      <c r="H3" s="28"/>
      <c r="I3" s="28"/>
      <c r="J3" s="28"/>
      <c r="K3" s="28"/>
      <c r="L3" s="28"/>
      <c r="M3" s="28"/>
    </row>
    <row r="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>
      <c r="A6" s="30" t="s">
        <v>155</v>
      </c>
      <c r="B6" s="30" t="s">
        <v>156</v>
      </c>
      <c r="C6" s="30" t="s">
        <v>157</v>
      </c>
      <c r="D6" s="30" t="s">
        <v>158</v>
      </c>
      <c r="E6" s="30" t="s">
        <v>159</v>
      </c>
      <c r="F6" s="30" t="s">
        <v>160</v>
      </c>
      <c r="G6" s="30" t="s">
        <v>161</v>
      </c>
      <c r="H6" s="30" t="s">
        <v>14</v>
      </c>
      <c r="I6" s="30" t="s">
        <v>162</v>
      </c>
      <c r="J6" s="30" t="s">
        <v>127</v>
      </c>
      <c r="K6" s="30" t="s">
        <v>15</v>
      </c>
      <c r="L6" s="30" t="s">
        <v>16</v>
      </c>
      <c r="M6" s="30" t="s">
        <v>228</v>
      </c>
    </row>
    <row r="7">
      <c r="A7" s="31" t="s">
        <v>163</v>
      </c>
      <c r="B7" s="31">
        <v>35.0</v>
      </c>
      <c r="C7" s="31">
        <v>44.0</v>
      </c>
      <c r="D7" s="31" t="s">
        <v>164</v>
      </c>
      <c r="E7" s="31">
        <v>40.0</v>
      </c>
      <c r="F7" s="31">
        <v>6.0</v>
      </c>
      <c r="G7" s="31">
        <v>62.0</v>
      </c>
      <c r="H7" s="31" t="s">
        <v>179</v>
      </c>
      <c r="I7" s="31" t="s">
        <v>180</v>
      </c>
      <c r="J7" s="31" t="s">
        <v>112</v>
      </c>
      <c r="K7" s="31" t="s">
        <v>113</v>
      </c>
      <c r="L7" s="31" t="s">
        <v>306</v>
      </c>
      <c r="M7" s="31" t="s">
        <v>307</v>
      </c>
    </row>
    <row r="8">
      <c r="A8" s="31" t="s">
        <v>169</v>
      </c>
      <c r="B8" s="31">
        <v>18.0</v>
      </c>
      <c r="C8" s="31">
        <v>23.0</v>
      </c>
      <c r="D8" s="31" t="s">
        <v>170</v>
      </c>
      <c r="E8" s="31">
        <v>41.0</v>
      </c>
      <c r="F8" s="31">
        <v>5.0</v>
      </c>
      <c r="G8" s="31">
        <v>30.0</v>
      </c>
      <c r="H8" s="31" t="s">
        <v>205</v>
      </c>
      <c r="I8" s="31" t="s">
        <v>206</v>
      </c>
      <c r="J8" s="31" t="s">
        <v>308</v>
      </c>
      <c r="K8" s="31" t="s">
        <v>309</v>
      </c>
      <c r="L8" s="31" t="s">
        <v>310</v>
      </c>
      <c r="M8" s="31" t="s">
        <v>311</v>
      </c>
    </row>
    <row r="9">
      <c r="A9" s="31" t="s">
        <v>177</v>
      </c>
      <c r="B9" s="31">
        <v>10.0</v>
      </c>
      <c r="C9" s="31">
        <v>13.0</v>
      </c>
      <c r="D9" s="31" t="s">
        <v>178</v>
      </c>
      <c r="E9" s="31">
        <v>42.0</v>
      </c>
      <c r="F9" s="31">
        <v>4.0</v>
      </c>
      <c r="G9" s="31">
        <v>14.0</v>
      </c>
      <c r="H9" s="31" t="s">
        <v>219</v>
      </c>
      <c r="I9" s="31" t="s">
        <v>220</v>
      </c>
      <c r="J9" s="31" t="s">
        <v>312</v>
      </c>
      <c r="K9" s="31" t="s">
        <v>313</v>
      </c>
      <c r="L9" s="31" t="s">
        <v>314</v>
      </c>
      <c r="M9" s="31" t="s">
        <v>315</v>
      </c>
    </row>
    <row r="10">
      <c r="A10" s="31" t="s">
        <v>185</v>
      </c>
      <c r="B10" s="31">
        <v>8.0</v>
      </c>
      <c r="C10" s="31">
        <v>10.0</v>
      </c>
      <c r="D10" s="31" t="s">
        <v>186</v>
      </c>
      <c r="E10" s="31">
        <v>43.0</v>
      </c>
      <c r="F10" s="31">
        <v>4.0</v>
      </c>
      <c r="G10" s="31">
        <v>14.0</v>
      </c>
      <c r="H10" s="31" t="s">
        <v>219</v>
      </c>
      <c r="I10" s="31" t="s">
        <v>220</v>
      </c>
      <c r="J10" s="31" t="s">
        <v>316</v>
      </c>
      <c r="K10" s="31" t="s">
        <v>317</v>
      </c>
      <c r="L10" s="31" t="s">
        <v>318</v>
      </c>
      <c r="M10" s="31" t="s">
        <v>319</v>
      </c>
    </row>
    <row r="11">
      <c r="A11" s="31" t="s">
        <v>191</v>
      </c>
      <c r="B11" s="31">
        <v>7.0</v>
      </c>
      <c r="C11" s="31">
        <v>9.0</v>
      </c>
      <c r="D11" s="31" t="s">
        <v>192</v>
      </c>
      <c r="E11" s="31">
        <v>44.0</v>
      </c>
      <c r="F11" s="31">
        <v>4.0</v>
      </c>
      <c r="G11" s="31">
        <v>14.0</v>
      </c>
      <c r="H11" s="31" t="s">
        <v>219</v>
      </c>
      <c r="I11" s="31" t="s">
        <v>220</v>
      </c>
      <c r="J11" s="31" t="s">
        <v>320</v>
      </c>
      <c r="K11" s="31" t="s">
        <v>321</v>
      </c>
      <c r="L11" s="31" t="s">
        <v>322</v>
      </c>
      <c r="M11" s="31" t="s">
        <v>323</v>
      </c>
    </row>
    <row r="12">
      <c r="A12" s="31" t="s">
        <v>197</v>
      </c>
      <c r="B12" s="31">
        <v>6.0</v>
      </c>
      <c r="C12" s="31">
        <v>8.0</v>
      </c>
      <c r="D12" s="31" t="s">
        <v>198</v>
      </c>
      <c r="E12" s="31">
        <v>45.0</v>
      </c>
      <c r="F12" s="31">
        <v>4.0</v>
      </c>
      <c r="G12" s="31">
        <v>14.0</v>
      </c>
      <c r="H12" s="31" t="s">
        <v>219</v>
      </c>
      <c r="I12" s="31" t="s">
        <v>220</v>
      </c>
      <c r="J12" s="31" t="s">
        <v>324</v>
      </c>
      <c r="K12" s="31" t="s">
        <v>325</v>
      </c>
      <c r="L12" s="31" t="s">
        <v>326</v>
      </c>
      <c r="M12" s="31" t="s">
        <v>327</v>
      </c>
    </row>
    <row r="13">
      <c r="A13" s="31" t="s">
        <v>203</v>
      </c>
      <c r="B13" s="31">
        <v>5.0</v>
      </c>
      <c r="C13" s="31">
        <v>7.0</v>
      </c>
      <c r="D13" s="31" t="s">
        <v>204</v>
      </c>
      <c r="E13" s="31">
        <v>46.0</v>
      </c>
      <c r="F13" s="31">
        <v>4.0</v>
      </c>
      <c r="G13" s="31">
        <v>14.0</v>
      </c>
      <c r="H13" s="31" t="s">
        <v>219</v>
      </c>
      <c r="I13" s="31" t="s">
        <v>220</v>
      </c>
      <c r="J13" s="31" t="s">
        <v>328</v>
      </c>
      <c r="K13" s="31" t="s">
        <v>329</v>
      </c>
      <c r="L13" s="31" t="s">
        <v>330</v>
      </c>
      <c r="M13" s="31" t="s">
        <v>331</v>
      </c>
    </row>
    <row r="14">
      <c r="A14" s="31" t="s">
        <v>211</v>
      </c>
      <c r="B14" s="31">
        <v>4.0</v>
      </c>
      <c r="C14" s="31">
        <v>5.0</v>
      </c>
      <c r="D14" s="31" t="s">
        <v>212</v>
      </c>
      <c r="E14" s="31">
        <v>99.0</v>
      </c>
      <c r="F14" s="31">
        <v>3.0</v>
      </c>
      <c r="G14" s="31">
        <v>6.0</v>
      </c>
      <c r="H14" s="31" t="s">
        <v>255</v>
      </c>
      <c r="I14" s="31" t="s">
        <v>256</v>
      </c>
      <c r="J14" s="31" t="s">
        <v>332</v>
      </c>
      <c r="K14" s="31" t="s">
        <v>333</v>
      </c>
      <c r="L14" s="31" t="s">
        <v>334</v>
      </c>
      <c r="M14" s="31" t="s">
        <v>335</v>
      </c>
    </row>
    <row r="15">
      <c r="A15" s="31" t="s">
        <v>217</v>
      </c>
      <c r="B15" s="31">
        <v>3.0</v>
      </c>
      <c r="C15" s="31">
        <v>4.0</v>
      </c>
      <c r="D15" s="31" t="s">
        <v>218</v>
      </c>
      <c r="E15" s="31">
        <v>47.0</v>
      </c>
      <c r="F15" s="31">
        <v>3.0</v>
      </c>
      <c r="G15" s="31">
        <v>6.0</v>
      </c>
      <c r="H15" s="31" t="s">
        <v>255</v>
      </c>
      <c r="I15" s="31" t="s">
        <v>256</v>
      </c>
      <c r="J15" s="31" t="s">
        <v>336</v>
      </c>
      <c r="K15" s="31" t="s">
        <v>337</v>
      </c>
      <c r="L15" s="31" t="s">
        <v>338</v>
      </c>
      <c r="M15" s="31" t="s">
        <v>339</v>
      </c>
    </row>
    <row r="16">
      <c r="A16" s="25" t="s">
        <v>225</v>
      </c>
      <c r="B16" s="32">
        <v>96.0</v>
      </c>
      <c r="C16" s="32">
        <v>123.0</v>
      </c>
      <c r="D16" s="28"/>
      <c r="E16" s="28"/>
      <c r="F16" s="28"/>
      <c r="G16" s="32">
        <v>174.0</v>
      </c>
      <c r="H16" s="28"/>
      <c r="I16" s="28"/>
      <c r="J16" s="28"/>
      <c r="K16" s="28"/>
      <c r="L16" s="28"/>
      <c r="M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>
      <c r="A18" s="25" t="s">
        <v>265</v>
      </c>
      <c r="B18" s="29" t="s">
        <v>340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</sheetData>
  <mergeCells count="1">
    <mergeCell ref="B1:D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6" max="6" width="14.25"/>
    <col customWidth="1" min="7" max="7" width="15.5"/>
    <col customWidth="1" min="9" max="10" width="16.88"/>
    <col customWidth="1" min="11" max="11" width="17.13"/>
    <col customWidth="1" min="12" max="12" width="16.88"/>
    <col customWidth="1" min="13" max="13" width="16.5"/>
  </cols>
  <sheetData>
    <row r="1">
      <c r="A1" s="25" t="s">
        <v>150</v>
      </c>
      <c r="B1" s="26" t="s">
        <v>341</v>
      </c>
      <c r="C1" s="27"/>
      <c r="D1" s="1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>
      <c r="A2" s="25" t="s">
        <v>77</v>
      </c>
      <c r="B2" s="29" t="s">
        <v>122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>
      <c r="A3" s="25" t="s">
        <v>79</v>
      </c>
      <c r="B3" s="29" t="s">
        <v>342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>
      <c r="A6" s="30" t="s">
        <v>155</v>
      </c>
      <c r="B6" s="30" t="s">
        <v>156</v>
      </c>
      <c r="C6" s="30" t="s">
        <v>157</v>
      </c>
      <c r="D6" s="30" t="s">
        <v>158</v>
      </c>
      <c r="E6" s="30" t="s">
        <v>159</v>
      </c>
      <c r="F6" s="30" t="s">
        <v>160</v>
      </c>
      <c r="G6" s="30" t="s">
        <v>161</v>
      </c>
      <c r="H6" s="30" t="s">
        <v>14</v>
      </c>
      <c r="I6" s="30" t="s">
        <v>162</v>
      </c>
      <c r="J6" s="30" t="s">
        <v>127</v>
      </c>
      <c r="K6" s="30" t="s">
        <v>15</v>
      </c>
      <c r="L6" s="30" t="s">
        <v>16</v>
      </c>
      <c r="M6" s="30" t="s">
        <v>228</v>
      </c>
      <c r="N6" s="28"/>
    </row>
    <row r="7">
      <c r="A7" s="31" t="s">
        <v>163</v>
      </c>
      <c r="B7" s="31">
        <v>36.0</v>
      </c>
      <c r="C7" s="31">
        <v>45.0</v>
      </c>
      <c r="D7" s="31" t="s">
        <v>164</v>
      </c>
      <c r="E7" s="31">
        <v>30.0</v>
      </c>
      <c r="F7" s="31">
        <v>6.0</v>
      </c>
      <c r="G7" s="31">
        <v>62.0</v>
      </c>
      <c r="H7" s="31" t="s">
        <v>179</v>
      </c>
      <c r="I7" s="31" t="s">
        <v>180</v>
      </c>
      <c r="J7" s="31" t="s">
        <v>118</v>
      </c>
      <c r="K7" s="31" t="s">
        <v>119</v>
      </c>
      <c r="L7" s="31" t="s">
        <v>343</v>
      </c>
      <c r="M7" s="31" t="s">
        <v>344</v>
      </c>
      <c r="N7" s="28"/>
    </row>
    <row r="8">
      <c r="A8" s="31" t="s">
        <v>169</v>
      </c>
      <c r="B8" s="31">
        <v>20.0</v>
      </c>
      <c r="C8" s="31">
        <v>25.0</v>
      </c>
      <c r="D8" s="31" t="s">
        <v>170</v>
      </c>
      <c r="E8" s="31">
        <v>10.0</v>
      </c>
      <c r="F8" s="31">
        <v>5.0</v>
      </c>
      <c r="G8" s="31">
        <v>30.0</v>
      </c>
      <c r="H8" s="31" t="s">
        <v>205</v>
      </c>
      <c r="I8" s="31" t="s">
        <v>206</v>
      </c>
      <c r="J8" s="31" t="s">
        <v>345</v>
      </c>
      <c r="K8" s="31" t="s">
        <v>346</v>
      </c>
      <c r="L8" s="31" t="s">
        <v>347</v>
      </c>
      <c r="M8" s="31" t="s">
        <v>348</v>
      </c>
      <c r="N8" s="28"/>
    </row>
    <row r="9">
      <c r="A9" s="31" t="s">
        <v>177</v>
      </c>
      <c r="B9" s="31">
        <v>11.0</v>
      </c>
      <c r="C9" s="31">
        <v>14.0</v>
      </c>
      <c r="D9" s="31" t="s">
        <v>178</v>
      </c>
      <c r="E9" s="31">
        <v>40.0</v>
      </c>
      <c r="F9" s="31">
        <v>4.0</v>
      </c>
      <c r="G9" s="31">
        <v>14.0</v>
      </c>
      <c r="H9" s="31" t="s">
        <v>219</v>
      </c>
      <c r="I9" s="31" t="s">
        <v>220</v>
      </c>
      <c r="J9" s="31" t="s">
        <v>349</v>
      </c>
      <c r="K9" s="31" t="s">
        <v>350</v>
      </c>
      <c r="L9" s="31" t="s">
        <v>351</v>
      </c>
      <c r="M9" s="31" t="s">
        <v>352</v>
      </c>
      <c r="N9" s="28"/>
    </row>
    <row r="10">
      <c r="A10" s="31" t="s">
        <v>185</v>
      </c>
      <c r="B10" s="31">
        <v>9.0</v>
      </c>
      <c r="C10" s="31">
        <v>12.0</v>
      </c>
      <c r="D10" s="31" t="s">
        <v>186</v>
      </c>
      <c r="E10" s="31">
        <v>80.0</v>
      </c>
      <c r="F10" s="31">
        <v>4.0</v>
      </c>
      <c r="G10" s="31">
        <v>14.0</v>
      </c>
      <c r="H10" s="31" t="s">
        <v>219</v>
      </c>
      <c r="I10" s="31" t="s">
        <v>220</v>
      </c>
      <c r="J10" s="31" t="s">
        <v>353</v>
      </c>
      <c r="K10" s="31" t="s">
        <v>354</v>
      </c>
      <c r="L10" s="31" t="s">
        <v>355</v>
      </c>
      <c r="M10" s="31" t="s">
        <v>356</v>
      </c>
      <c r="N10" s="28"/>
    </row>
    <row r="11">
      <c r="A11" s="31" t="s">
        <v>191</v>
      </c>
      <c r="B11" s="31">
        <v>8.0</v>
      </c>
      <c r="C11" s="31">
        <v>10.0</v>
      </c>
      <c r="D11" s="31" t="s">
        <v>192</v>
      </c>
      <c r="E11" s="31">
        <v>50.0</v>
      </c>
      <c r="F11" s="31">
        <v>4.0</v>
      </c>
      <c r="G11" s="31">
        <v>14.0</v>
      </c>
      <c r="H11" s="31" t="s">
        <v>219</v>
      </c>
      <c r="I11" s="31" t="s">
        <v>220</v>
      </c>
      <c r="J11" s="31" t="s">
        <v>357</v>
      </c>
      <c r="K11" s="31" t="s">
        <v>358</v>
      </c>
      <c r="L11" s="31" t="s">
        <v>359</v>
      </c>
      <c r="M11" s="31" t="s">
        <v>360</v>
      </c>
      <c r="N11" s="28"/>
    </row>
    <row r="12">
      <c r="A12" s="31" t="s">
        <v>197</v>
      </c>
      <c r="B12" s="31">
        <v>7.0</v>
      </c>
      <c r="C12" s="31">
        <v>9.0</v>
      </c>
      <c r="D12" s="31" t="s">
        <v>198</v>
      </c>
      <c r="E12" s="31">
        <v>20.0</v>
      </c>
      <c r="F12" s="31">
        <v>4.0</v>
      </c>
      <c r="G12" s="31">
        <v>14.0</v>
      </c>
      <c r="H12" s="31" t="s">
        <v>219</v>
      </c>
      <c r="I12" s="31" t="s">
        <v>220</v>
      </c>
      <c r="J12" s="31" t="s">
        <v>361</v>
      </c>
      <c r="K12" s="31" t="s">
        <v>362</v>
      </c>
      <c r="L12" s="31" t="s">
        <v>363</v>
      </c>
      <c r="M12" s="31" t="s">
        <v>364</v>
      </c>
      <c r="N12" s="28"/>
    </row>
    <row r="13">
      <c r="A13" s="31" t="s">
        <v>203</v>
      </c>
      <c r="B13" s="31">
        <v>5.0</v>
      </c>
      <c r="C13" s="31">
        <v>7.0</v>
      </c>
      <c r="D13" s="31" t="s">
        <v>204</v>
      </c>
      <c r="E13" s="31">
        <v>70.0</v>
      </c>
      <c r="F13" s="31">
        <v>4.0</v>
      </c>
      <c r="G13" s="31">
        <v>14.0</v>
      </c>
      <c r="H13" s="31" t="s">
        <v>219</v>
      </c>
      <c r="I13" s="31" t="s">
        <v>220</v>
      </c>
      <c r="J13" s="31" t="s">
        <v>365</v>
      </c>
      <c r="K13" s="31" t="s">
        <v>366</v>
      </c>
      <c r="L13" s="31" t="s">
        <v>367</v>
      </c>
      <c r="M13" s="31" t="s">
        <v>368</v>
      </c>
      <c r="N13" s="28"/>
    </row>
    <row r="14">
      <c r="A14" s="31" t="s">
        <v>217</v>
      </c>
      <c r="B14" s="31">
        <v>5.0</v>
      </c>
      <c r="C14" s="31">
        <v>7.0</v>
      </c>
      <c r="D14" s="31" t="s">
        <v>218</v>
      </c>
      <c r="E14" s="31">
        <v>60.0</v>
      </c>
      <c r="F14" s="31">
        <v>4.0</v>
      </c>
      <c r="G14" s="31">
        <v>14.0</v>
      </c>
      <c r="H14" s="31" t="s">
        <v>219</v>
      </c>
      <c r="I14" s="31" t="s">
        <v>220</v>
      </c>
      <c r="J14" s="31" t="s">
        <v>369</v>
      </c>
      <c r="K14" s="31" t="s">
        <v>370</v>
      </c>
      <c r="L14" s="31" t="s">
        <v>371</v>
      </c>
      <c r="M14" s="31" t="s">
        <v>372</v>
      </c>
      <c r="N14" s="28"/>
    </row>
    <row r="15">
      <c r="A15" s="31" t="s">
        <v>211</v>
      </c>
      <c r="B15" s="31">
        <v>4.0</v>
      </c>
      <c r="C15" s="31">
        <v>5.0</v>
      </c>
      <c r="D15" s="31" t="s">
        <v>212</v>
      </c>
      <c r="E15" s="31">
        <v>99.0</v>
      </c>
      <c r="F15" s="31">
        <v>3.0</v>
      </c>
      <c r="G15" s="31">
        <v>6.0</v>
      </c>
      <c r="H15" s="31" t="s">
        <v>255</v>
      </c>
      <c r="I15" s="31" t="s">
        <v>256</v>
      </c>
      <c r="J15" s="31" t="s">
        <v>373</v>
      </c>
      <c r="K15" s="31" t="s">
        <v>374</v>
      </c>
      <c r="L15" s="31" t="s">
        <v>375</v>
      </c>
      <c r="M15" s="31" t="s">
        <v>376</v>
      </c>
      <c r="N15" s="28"/>
    </row>
    <row r="16">
      <c r="A16" s="25" t="s">
        <v>225</v>
      </c>
      <c r="B16" s="32">
        <v>105.0</v>
      </c>
      <c r="C16" s="32">
        <v>134.0</v>
      </c>
      <c r="D16" s="28"/>
      <c r="E16" s="28"/>
      <c r="F16" s="28"/>
      <c r="G16" s="32">
        <v>182.0</v>
      </c>
      <c r="H16" s="28"/>
      <c r="I16" s="28"/>
      <c r="J16" s="28"/>
      <c r="K16" s="28"/>
      <c r="L16" s="28"/>
      <c r="M16" s="28"/>
      <c r="N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  <row r="18">
      <c r="A18" s="25" t="s">
        <v>265</v>
      </c>
      <c r="B18" s="29" t="s">
        <v>377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</sheetData>
  <mergeCells count="1">
    <mergeCell ref="B1:D1"/>
  </mergeCells>
  <drawing r:id="rId1"/>
</worksheet>
</file>