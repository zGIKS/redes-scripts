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bredes" sheetId="1" r:id="rId5"/>
    <sheet state="visible" name="Sede Principal" sheetId="2" r:id="rId6"/>
    <sheet state="visible" name="Lima" sheetId="3" r:id="rId7"/>
    <sheet state="visible" name="La libertad" sheetId="4" r:id="rId8"/>
    <sheet state="visible" name="Ica" sheetId="5" r:id="rId9"/>
    <sheet state="visible" name="Huanuco" sheetId="6" r:id="rId10"/>
    <sheet state="visible" name="Puno" sheetId="7" r:id="rId11"/>
  </sheets>
  <definedNames/>
  <calcPr/>
</workbook>
</file>

<file path=xl/sharedStrings.xml><?xml version="1.0" encoding="utf-8"?>
<sst xmlns="http://schemas.openxmlformats.org/spreadsheetml/2006/main" count="734" uniqueCount="384">
  <si>
    <t>Caso Estudio:</t>
  </si>
  <si>
    <t>MIEMPRESA - Grupo 2 / Caso Oracle</t>
  </si>
  <si>
    <t xml:space="preserve">Dirección IP (Padre): </t>
  </si>
  <si>
    <t>10.192.0.0/16</t>
  </si>
  <si>
    <t>Numero de Subredes Requeridas:</t>
  </si>
  <si>
    <t>Cantidad de Bits para acomodar las subredes requeridas:</t>
  </si>
  <si>
    <t>3 bits (2^3 = 8)</t>
  </si>
  <si>
    <t>Subred</t>
  </si>
  <si>
    <t>Primer Octeto</t>
  </si>
  <si>
    <t>Segundo Octeto</t>
  </si>
  <si>
    <t>Tercer Octeto</t>
  </si>
  <si>
    <t>Cuarto Octeto</t>
  </si>
  <si>
    <t>Dirección de Red</t>
  </si>
  <si>
    <t>Mascara de subred</t>
  </si>
  <si>
    <t>Longitud de Prefijo (LP)</t>
  </si>
  <si>
    <t>Primer Host</t>
  </si>
  <si>
    <t>Ultimo Host</t>
  </si>
  <si>
    <t>Dirección de Broadcast</t>
  </si>
  <si>
    <t>Sede</t>
  </si>
  <si>
    <t>S0</t>
  </si>
  <si>
    <t>00001010</t>
  </si>
  <si>
    <t>11000000</t>
  </si>
  <si>
    <t>00000000</t>
  </si>
  <si>
    <t>10.192.0.0</t>
  </si>
  <si>
    <t>255.255.224.0</t>
  </si>
  <si>
    <t>/19</t>
  </si>
  <si>
    <t>10.192.0.1</t>
  </si>
  <si>
    <t>10.192.31.254</t>
  </si>
  <si>
    <t>10.192.31.255</t>
  </si>
  <si>
    <t>Reservado</t>
  </si>
  <si>
    <t>S1</t>
  </si>
  <si>
    <t>00100000</t>
  </si>
  <si>
    <t>10.192.32.0</t>
  </si>
  <si>
    <t>10.192.32.1</t>
  </si>
  <si>
    <t>10.192.63.254</t>
  </si>
  <si>
    <t>10.192.63.255</t>
  </si>
  <si>
    <t>Perú</t>
  </si>
  <si>
    <t>S2</t>
  </si>
  <si>
    <t>01000000</t>
  </si>
  <si>
    <t>10.192.64.0</t>
  </si>
  <si>
    <t>10.192.64.1</t>
  </si>
  <si>
    <t>10.192.95.254</t>
  </si>
  <si>
    <t>10.192.95.255</t>
  </si>
  <si>
    <t>Chile</t>
  </si>
  <si>
    <t>S3</t>
  </si>
  <si>
    <t>01100000</t>
  </si>
  <si>
    <t>10.192.96.0</t>
  </si>
  <si>
    <t>10.192.96.1</t>
  </si>
  <si>
    <t>10.192.127.254</t>
  </si>
  <si>
    <t>10.192.127.255</t>
  </si>
  <si>
    <t>Argentina</t>
  </si>
  <si>
    <t>S4</t>
  </si>
  <si>
    <t>10000000</t>
  </si>
  <si>
    <t>10.192.128.0</t>
  </si>
  <si>
    <t>10.192.128.1</t>
  </si>
  <si>
    <t>10.192.159.254</t>
  </si>
  <si>
    <t>10.192.159.255</t>
  </si>
  <si>
    <t>Ecuador</t>
  </si>
  <si>
    <t>S5</t>
  </si>
  <si>
    <t>10100000</t>
  </si>
  <si>
    <t>10.192.160.0</t>
  </si>
  <si>
    <t>10.192.160.1</t>
  </si>
  <si>
    <t>10.192.191.254</t>
  </si>
  <si>
    <t>10.192.191.255</t>
  </si>
  <si>
    <t>Colombia</t>
  </si>
  <si>
    <t>S6</t>
  </si>
  <si>
    <t>10.192.192.0</t>
  </si>
  <si>
    <t>10.192.192.1</t>
  </si>
  <si>
    <t>10.192.223.254</t>
  </si>
  <si>
    <t>10.192.223.255</t>
  </si>
  <si>
    <t>Reserva</t>
  </si>
  <si>
    <t>S7</t>
  </si>
  <si>
    <t>11100000</t>
  </si>
  <si>
    <t>10.192.224.0</t>
  </si>
  <si>
    <t>10.192.224.1</t>
  </si>
  <si>
    <t>10.192.255.254</t>
  </si>
  <si>
    <t>10.192.255.255</t>
  </si>
  <si>
    <t>Nombre de la Sede:</t>
  </si>
  <si>
    <t>Casa Matriz Peru</t>
  </si>
  <si>
    <t>Direccion IP (subred):</t>
  </si>
  <si>
    <t>10.192.32.0/19</t>
  </si>
  <si>
    <t>N° de subredes</t>
  </si>
  <si>
    <t>Nombre de la sede</t>
  </si>
  <si>
    <t>255.255.252.0</t>
  </si>
  <si>
    <t>/22</t>
  </si>
  <si>
    <t>10.192.35.254</t>
  </si>
  <si>
    <t>10.192.35.255</t>
  </si>
  <si>
    <t>00100100</t>
  </si>
  <si>
    <t>10.192.36.0</t>
  </si>
  <si>
    <t>10.192.36.1</t>
  </si>
  <si>
    <t>10.192.39.254</t>
  </si>
  <si>
    <t>10.192.39.255</t>
  </si>
  <si>
    <t>WAN</t>
  </si>
  <si>
    <t>00101000</t>
  </si>
  <si>
    <t>10.192.40.0</t>
  </si>
  <si>
    <t>10.192.40.1</t>
  </si>
  <si>
    <t>10.192.43.254</t>
  </si>
  <si>
    <t>10.192.43.255</t>
  </si>
  <si>
    <t>Lima</t>
  </si>
  <si>
    <t>00101100</t>
  </si>
  <si>
    <t>10.192.44.0</t>
  </si>
  <si>
    <t>10.192.44.1</t>
  </si>
  <si>
    <t>10.192.47.254</t>
  </si>
  <si>
    <t>10.192.47.255</t>
  </si>
  <si>
    <t>La Libertad</t>
  </si>
  <si>
    <t>00110000</t>
  </si>
  <si>
    <t>10.192.48.0</t>
  </si>
  <si>
    <t>10.192.48.1</t>
  </si>
  <si>
    <t>10.192.51.254</t>
  </si>
  <si>
    <t>10.192.51.255</t>
  </si>
  <si>
    <t>Ica</t>
  </si>
  <si>
    <t>00110100</t>
  </si>
  <si>
    <t>10.192.52.0</t>
  </si>
  <si>
    <t>10.192.52.1</t>
  </si>
  <si>
    <t>10.192.55.254</t>
  </si>
  <si>
    <t>10.192.55.255</t>
  </si>
  <si>
    <t>Huanuco</t>
  </si>
  <si>
    <t>00111000</t>
  </si>
  <si>
    <t>10.192.56.0</t>
  </si>
  <si>
    <t>10.192.56.1</t>
  </si>
  <si>
    <t>10.192.59.254</t>
  </si>
  <si>
    <t>10.192.59.255</t>
  </si>
  <si>
    <t>Puno</t>
  </si>
  <si>
    <t>00111100</t>
  </si>
  <si>
    <t>10.192.60.0</t>
  </si>
  <si>
    <t>10.192.60.1</t>
  </si>
  <si>
    <t>TABLA WAN</t>
  </si>
  <si>
    <t>Direccion de Red</t>
  </si>
  <si>
    <t>Mascara</t>
  </si>
  <si>
    <t>Segundo Host</t>
  </si>
  <si>
    <t>Broadcast</t>
  </si>
  <si>
    <t>Lima - Ica</t>
  </si>
  <si>
    <t>255.255.255.252</t>
  </si>
  <si>
    <t>10.192.36.2</t>
  </si>
  <si>
    <t>10.192.36.3</t>
  </si>
  <si>
    <t>Lima - La Libertad</t>
  </si>
  <si>
    <t>10.192.36.4</t>
  </si>
  <si>
    <t>10.192.36.5</t>
  </si>
  <si>
    <t>10.192.36.6</t>
  </si>
  <si>
    <t>10.192.36.7</t>
  </si>
  <si>
    <t>Lima - Huanuco</t>
  </si>
  <si>
    <t>10.192.36.8</t>
  </si>
  <si>
    <t>10.192.36.9</t>
  </si>
  <si>
    <t>10.192.36.10</t>
  </si>
  <si>
    <t>10.192.36.11</t>
  </si>
  <si>
    <t>Lima - Puno</t>
  </si>
  <si>
    <t>10.192.36.12</t>
  </si>
  <si>
    <t>10.192.36.13</t>
  </si>
  <si>
    <t>10.192.36.14</t>
  </si>
  <si>
    <t>10.192.36.15</t>
  </si>
  <si>
    <t>Apellidos y Nombre del estudiante:</t>
  </si>
  <si>
    <t>Dante Mateo Aleman Romano</t>
  </si>
  <si>
    <t>Lima - Sede Principal</t>
  </si>
  <si>
    <t xml:space="preserve">Direccion IP (subred): </t>
  </si>
  <si>
    <t>10.192.40.0/22</t>
  </si>
  <si>
    <t>Nombre de la Unidad Organizacional</t>
  </si>
  <si>
    <t>Requisitos de hosts Actuales</t>
  </si>
  <si>
    <t>Requisitos de hosts con crecimiento del 25% (x 1.25)</t>
  </si>
  <si>
    <t>Nombre de la VLAN</t>
  </si>
  <si>
    <t>VLAN ID</t>
  </si>
  <si>
    <t>h</t>
  </si>
  <si>
    <t>Hosts asignados (# hosts)</t>
  </si>
  <si>
    <t>Mascara de Subred</t>
  </si>
  <si>
    <t>Direccion de Broadcast</t>
  </si>
  <si>
    <t>Ventas</t>
  </si>
  <si>
    <t>VLVEN</t>
  </si>
  <si>
    <t>/24</t>
  </si>
  <si>
    <t>255.255.255.0</t>
  </si>
  <si>
    <t>10.192.40.254</t>
  </si>
  <si>
    <t>10.192.40.255</t>
  </si>
  <si>
    <t>Administracion</t>
  </si>
  <si>
    <t>VLADM</t>
  </si>
  <si>
    <t>/25</t>
  </si>
  <si>
    <t>255.255.255.128</t>
  </si>
  <si>
    <t>10.192.41.0</t>
  </si>
  <si>
    <t>10.192.41.1</t>
  </si>
  <si>
    <t>10.192.41.126</t>
  </si>
  <si>
    <t>10.192.41.127</t>
  </si>
  <si>
    <t>Finanzas</t>
  </si>
  <si>
    <t>VLFIN</t>
  </si>
  <si>
    <t>/26</t>
  </si>
  <si>
    <t>255.255.255.192</t>
  </si>
  <si>
    <t>10.192.41.128</t>
  </si>
  <si>
    <t>10.192.41.129</t>
  </si>
  <si>
    <t>10.192.41.190</t>
  </si>
  <si>
    <t>10.192.41.191</t>
  </si>
  <si>
    <t>WiFi Ejecutivos</t>
  </si>
  <si>
    <t>VLWFEJE</t>
  </si>
  <si>
    <t>10.192.41.192</t>
  </si>
  <si>
    <t>10.192.41.193</t>
  </si>
  <si>
    <t>10.192.41.254</t>
  </si>
  <si>
    <t>10.192.41.255</t>
  </si>
  <si>
    <t>Marketing</t>
  </si>
  <si>
    <t>VLMAR</t>
  </si>
  <si>
    <t>10.192.42.0</t>
  </si>
  <si>
    <t>10.192.42.1</t>
  </si>
  <si>
    <t>10.192.42.62</t>
  </si>
  <si>
    <t>10.192.42.63</t>
  </si>
  <si>
    <t>Logistica</t>
  </si>
  <si>
    <t>VLLOG</t>
  </si>
  <si>
    <t>10.192.42.64</t>
  </si>
  <si>
    <t>10.192.42.65</t>
  </si>
  <si>
    <t>10.192.42.126</t>
  </si>
  <si>
    <t>10.192.42.127</t>
  </si>
  <si>
    <t>WiFi Clientes</t>
  </si>
  <si>
    <t>VLWFCLI</t>
  </si>
  <si>
    <t>/27</t>
  </si>
  <si>
    <t>255.255.255.224</t>
  </si>
  <si>
    <t>10.192.42.128</t>
  </si>
  <si>
    <t>10.192.42.129</t>
  </si>
  <si>
    <t>10.192.42.158</t>
  </si>
  <si>
    <t>10.192.42.159</t>
  </si>
  <si>
    <t>Nativa</t>
  </si>
  <si>
    <t>VLNAT</t>
  </si>
  <si>
    <t>10.192.42.160</t>
  </si>
  <si>
    <t>10.192.42.161</t>
  </si>
  <si>
    <t>10.192.42.190</t>
  </si>
  <si>
    <t>10.192.42.191</t>
  </si>
  <si>
    <t>Servidores</t>
  </si>
  <si>
    <t>VLSER</t>
  </si>
  <si>
    <t>/28</t>
  </si>
  <si>
    <t>255.255.255.240</t>
  </si>
  <si>
    <t>10.192.42.192</t>
  </si>
  <si>
    <t>10.192.42.193</t>
  </si>
  <si>
    <t>10.192.42.206</t>
  </si>
  <si>
    <t>10.192.42.207</t>
  </si>
  <si>
    <t>Nota:</t>
  </si>
  <si>
    <t>Nativa se calculo con 15 equipos actuales asumidos para gestion; ajustar si tu Packet Tracer usa otra cantidad. XYZW queda reservado.</t>
  </si>
  <si>
    <t>Validacion:</t>
  </si>
  <si>
    <t>Todas las VLAN quedan dentro de 10.192.40.0/22 y no se solapan.</t>
  </si>
  <si>
    <t>Yeremi Tanner Villavicencio Rios</t>
  </si>
  <si>
    <t>10.192.44.0/22</t>
  </si>
  <si>
    <t>10.192.44.126</t>
  </si>
  <si>
    <t>10.192.44.127</t>
  </si>
  <si>
    <t>10.192.44.128</t>
  </si>
  <si>
    <t>10.192.44.129</t>
  </si>
  <si>
    <t>10.192.44.190</t>
  </si>
  <si>
    <t>10.192.44.191</t>
  </si>
  <si>
    <t>10.192.44.192</t>
  </si>
  <si>
    <t>10.192.44.193</t>
  </si>
  <si>
    <t>10.192.44.222</t>
  </si>
  <si>
    <t>10.192.44.223</t>
  </si>
  <si>
    <t>10.192.44.224</t>
  </si>
  <si>
    <t>10.192.44.225</t>
  </si>
  <si>
    <t>10.192.44.238</t>
  </si>
  <si>
    <t>10.192.44.239</t>
  </si>
  <si>
    <t>10.192.44.240</t>
  </si>
  <si>
    <t>10.192.44.241</t>
  </si>
  <si>
    <t>10.192.44.254</t>
  </si>
  <si>
    <t>10.192.44.255</t>
  </si>
  <si>
    <t>10.192.45.0</t>
  </si>
  <si>
    <t>10.192.45.1</t>
  </si>
  <si>
    <t>10.192.45.14</t>
  </si>
  <si>
    <t>10.192.45.15</t>
  </si>
  <si>
    <t>10.192.45.16</t>
  </si>
  <si>
    <t>10.192.45.17</t>
  </si>
  <si>
    <t>10.192.45.30</t>
  </si>
  <si>
    <t>10.192.45.31</t>
  </si>
  <si>
    <t>Nativa/Gestion</t>
  </si>
  <si>
    <t>/29</t>
  </si>
  <si>
    <t>255.255.255.248</t>
  </si>
  <si>
    <t>10.192.45.32</t>
  </si>
  <si>
    <t>10.192.45.33</t>
  </si>
  <si>
    <t>10.192.45.38</t>
  </si>
  <si>
    <t>10.192.45.39</t>
  </si>
  <si>
    <t>10.192.45.40</t>
  </si>
  <si>
    <t>10.192.45.41</t>
  </si>
  <si>
    <t>10.192.45.46</t>
  </si>
  <si>
    <t>10.192.45.47</t>
  </si>
  <si>
    <t>Total Host</t>
  </si>
  <si>
    <t>Todas las VLAN quedan dentro de 10.192.44.0/22 y no se solapan.</t>
  </si>
  <si>
    <t>Quiroz Villafuerte Albert Stheven</t>
  </si>
  <si>
    <t>10.192.48.0/22</t>
  </si>
  <si>
    <t>10.192.48.126</t>
  </si>
  <si>
    <t>10.192.48.127</t>
  </si>
  <si>
    <t>10.192.48.128</t>
  </si>
  <si>
    <t>10.192.48.129</t>
  </si>
  <si>
    <t>10.192.48.190</t>
  </si>
  <si>
    <t>10.192.48.191</t>
  </si>
  <si>
    <t>10.192.48.192</t>
  </si>
  <si>
    <t>10.192.48.193</t>
  </si>
  <si>
    <t>10.192.48.222</t>
  </si>
  <si>
    <t>10.192.48.223</t>
  </si>
  <si>
    <t>10.192.48.224</t>
  </si>
  <si>
    <t>10.192.48.225</t>
  </si>
  <si>
    <t>10.192.48.254</t>
  </si>
  <si>
    <t>10.192.48.255</t>
  </si>
  <si>
    <t>10.192.49.0</t>
  </si>
  <si>
    <t>10.192.49.1</t>
  </si>
  <si>
    <t>10.192.49.14</t>
  </si>
  <si>
    <t>10.192.49.15</t>
  </si>
  <si>
    <t>10.192.49.16</t>
  </si>
  <si>
    <t>10.192.49.17</t>
  </si>
  <si>
    <t>10.192.49.30</t>
  </si>
  <si>
    <t>10.192.49.31</t>
  </si>
  <si>
    <t>10.192.49.32</t>
  </si>
  <si>
    <t>10.192.49.33</t>
  </si>
  <si>
    <t>10.192.49.46</t>
  </si>
  <si>
    <t>10.192.49.47</t>
  </si>
  <si>
    <t>10.192.49.48</t>
  </si>
  <si>
    <t>10.192.49.49</t>
  </si>
  <si>
    <t>10.192.49.62</t>
  </si>
  <si>
    <t>10.192.49.63</t>
  </si>
  <si>
    <t>10.192.49.64</t>
  </si>
  <si>
    <t>10.192.49.65</t>
  </si>
  <si>
    <t>10.192.49.78</t>
  </si>
  <si>
    <t>10.192.49.79</t>
  </si>
  <si>
    <t>Todas las VLAN quedan dentro de 10.192.48.0/22 y no se solapan.</t>
  </si>
  <si>
    <t>Portalanza Romero, Aurora de Libertad</t>
  </si>
  <si>
    <t>10.192.52.0/22</t>
  </si>
  <si>
    <t>10.192.52.30</t>
  </si>
  <si>
    <t>10.192.52.31</t>
  </si>
  <si>
    <t>10.192.52.32</t>
  </si>
  <si>
    <t>10.192.52.33</t>
  </si>
  <si>
    <t>10.192.52.62</t>
  </si>
  <si>
    <t>10.192.52.63</t>
  </si>
  <si>
    <t>10.192.52.64</t>
  </si>
  <si>
    <t>10.192.52.65</t>
  </si>
  <si>
    <t>10.192.52.94</t>
  </si>
  <si>
    <t>10.192.52.95</t>
  </si>
  <si>
    <t>10.192.52.96</t>
  </si>
  <si>
    <t>10.192.52.97</t>
  </si>
  <si>
    <t>10.192.52.110</t>
  </si>
  <si>
    <t>10.192.52.111</t>
  </si>
  <si>
    <t>10.192.52.112</t>
  </si>
  <si>
    <t>10.192.52.113</t>
  </si>
  <si>
    <t>10.192.52.126</t>
  </si>
  <si>
    <t>10.192.52.127</t>
  </si>
  <si>
    <t>10.192.52.128</t>
  </si>
  <si>
    <t>10.192.52.129</t>
  </si>
  <si>
    <t>10.192.52.142</t>
  </si>
  <si>
    <t>10.192.52.143</t>
  </si>
  <si>
    <t>10.192.52.144</t>
  </si>
  <si>
    <t>10.192.52.145</t>
  </si>
  <si>
    <t>10.192.52.158</t>
  </si>
  <si>
    <t>10.192.52.159</t>
  </si>
  <si>
    <t>10.192.52.160</t>
  </si>
  <si>
    <t>10.192.52.161</t>
  </si>
  <si>
    <t>10.192.52.174</t>
  </si>
  <si>
    <t>10.192.52.175</t>
  </si>
  <si>
    <t>10.192.52.176</t>
  </si>
  <si>
    <t>10.192.52.177</t>
  </si>
  <si>
    <t>10.192.52.190</t>
  </si>
  <si>
    <t>10.192.52.191</t>
  </si>
  <si>
    <t>Todas las VLAN quedan dentro de 10.192.52.0/22 y no se solapan.</t>
  </si>
  <si>
    <t>Fernandez Cjuro, Nadinne Anahi</t>
  </si>
  <si>
    <t>10.192.56.0/22</t>
  </si>
  <si>
    <t>10.192.56.62</t>
  </si>
  <si>
    <t>10.192.56.63</t>
  </si>
  <si>
    <t>10.192.56.64</t>
  </si>
  <si>
    <t>10.192.56.65</t>
  </si>
  <si>
    <t>10.192.56.94</t>
  </si>
  <si>
    <t>10.192.56.95</t>
  </si>
  <si>
    <t>10.192.56.96</t>
  </si>
  <si>
    <t>10.192.56.97</t>
  </si>
  <si>
    <t>10.192.56.110</t>
  </si>
  <si>
    <t>10.192.56.111</t>
  </si>
  <si>
    <t>10.192.56.112</t>
  </si>
  <si>
    <t>10.192.56.113</t>
  </si>
  <si>
    <t>10.192.56.126</t>
  </si>
  <si>
    <t>10.192.56.127</t>
  </si>
  <si>
    <t>10.192.56.128</t>
  </si>
  <si>
    <t>10.192.56.129</t>
  </si>
  <si>
    <t>10.192.56.142</t>
  </si>
  <si>
    <t>10.192.56.143</t>
  </si>
  <si>
    <t>10.192.56.144</t>
  </si>
  <si>
    <t>10.192.56.145</t>
  </si>
  <si>
    <t>10.192.56.158</t>
  </si>
  <si>
    <t>10.192.56.159</t>
  </si>
  <si>
    <t>10.192.56.160</t>
  </si>
  <si>
    <t>10.192.56.161</t>
  </si>
  <si>
    <t>10.192.56.174</t>
  </si>
  <si>
    <t>10.192.56.175</t>
  </si>
  <si>
    <t>10.192.56.176</t>
  </si>
  <si>
    <t>10.192.56.177</t>
  </si>
  <si>
    <t>10.192.56.190</t>
  </si>
  <si>
    <t>10.192.56.191</t>
  </si>
  <si>
    <t>10.192.56.192</t>
  </si>
  <si>
    <t>10.192.56.193</t>
  </si>
  <si>
    <t>10.192.56.198</t>
  </si>
  <si>
    <t>10.192.56.199</t>
  </si>
  <si>
    <t>Todas las VLAN quedan dentro de 10.192.56.0/22 y no se solapan.</t>
  </si>
  <si>
    <t>10.192.56.114</t>
  </si>
  <si>
    <t>10.192.56.115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</si>
</sst>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sz val="11.0"/>
      <color theme="1"/>
      <name val="Calibri"/>
    </font>
    <font>
      <sz val="12.0"/>
      <color rgb="FF333333"/>
      <name val="&quot;Open Sans&quot;"/>
    </font>
    <font>
      <b/>
      <color theme="1"/>
      <name val="Arial"/>
      <scheme val="minor"/>
    </font>
    <font/>
    <font>
      <b/>
      <sz val="11.0"/>
      <color rgb="FFFFFFFF"/>
      <name val="Calibri"/>
    </font>
    <font>
      <sz val="11.0"/>
      <color rgb="FF000000"/>
      <name val="Calibri"/>
    </font>
    <font>
      <b/>
      <sz val="11.0"/>
      <color rgb="FF00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808080"/>
        <bgColor rgb="FF80808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top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horizontal="center" readingOrder="0" vertical="top"/>
    </xf>
    <xf borderId="0" fillId="2" fontId="4" numFmtId="0" xfId="0" applyAlignment="1" applyFill="1" applyFont="1">
      <alignment horizontal="left"/>
    </xf>
    <xf borderId="1" fillId="0" fontId="1" numFmtId="0" xfId="0" applyAlignment="1" applyBorder="1" applyFont="1">
      <alignment shrinkToFit="0" vertical="top" wrapText="1"/>
    </xf>
    <xf borderId="1" fillId="0" fontId="5" numFmtId="0" xfId="0" applyAlignment="1" applyBorder="1" applyFont="1">
      <alignment horizontal="center" readingOrder="0"/>
    </xf>
    <xf quotePrefix="1" borderId="1" fillId="0" fontId="2" numFmtId="0" xfId="0" applyAlignment="1" applyBorder="1" applyFont="1">
      <alignment readingOrder="0"/>
    </xf>
    <xf borderId="1" fillId="0" fontId="1" numFmtId="0" xfId="0" applyAlignment="1" applyBorder="1" applyFont="1">
      <alignment readingOrder="0" vertical="bottom"/>
    </xf>
    <xf borderId="1" fillId="0" fontId="3" numFmtId="0" xfId="0" applyAlignment="1" applyBorder="1" applyFont="1">
      <alignment horizontal="center" readingOrder="0" shrinkToFit="0" vertical="top" wrapText="1"/>
    </xf>
    <xf borderId="0" fillId="0" fontId="1" numFmtId="0" xfId="0" applyAlignment="1" applyFont="1">
      <alignment horizontal="center" shrinkToFit="0" vertical="top" wrapText="1"/>
    </xf>
    <xf borderId="0" fillId="2" fontId="3" numFmtId="0" xfId="0" applyAlignment="1" applyFont="1">
      <alignment vertical="bottom"/>
    </xf>
    <xf borderId="1" fillId="0" fontId="2" numFmtId="0" xfId="0" applyAlignment="1" applyBorder="1" applyFont="1">
      <alignment horizontal="center" readingOrder="0"/>
    </xf>
    <xf borderId="1" fillId="2" fontId="1" numFmtId="0" xfId="0" applyAlignment="1" applyBorder="1" applyFont="1">
      <alignment readingOrder="0" vertical="bottom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vertical="bottom"/>
    </xf>
    <xf borderId="1" fillId="3" fontId="2" numFmtId="0" xfId="0" applyAlignment="1" applyBorder="1" applyFill="1" applyFont="1">
      <alignment readingOrder="0"/>
    </xf>
    <xf borderId="2" fillId="0" fontId="3" numFmtId="0" xfId="0" applyAlignment="1" applyBorder="1" applyFont="1">
      <alignment horizontal="center" readingOrder="0" shrinkToFit="0" vertical="top" wrapText="1"/>
    </xf>
    <xf borderId="3" fillId="0" fontId="6" numFmtId="0" xfId="0" applyBorder="1" applyFont="1"/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horizontal="center" readingOrder="0" shrinkToFit="0" vertical="top" wrapText="1"/>
    </xf>
    <xf borderId="2" fillId="0" fontId="3" numFmtId="0" xfId="0" applyAlignment="1" applyBorder="1" applyFont="1">
      <alignment horizontal="center" readingOrder="0" vertical="bottom"/>
    </xf>
    <xf borderId="1" fillId="4" fontId="7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4" fillId="0" fontId="8" numFmtId="0" xfId="0" applyAlignment="1" applyBorder="1" applyFont="1">
      <alignment readingOrder="0" shrinkToFit="0" vertical="bottom" wrapText="0"/>
    </xf>
    <xf borderId="3" fillId="0" fontId="8" numFmtId="0" xfId="0" applyAlignment="1" applyBorder="1" applyFont="1">
      <alignment readingOrder="0" shrinkToFit="0" vertical="bottom" wrapText="0"/>
    </xf>
    <xf borderId="0" fillId="0" fontId="8" numFmtId="0" xfId="0" applyAlignment="1" applyFont="1">
      <alignment shrinkToFit="0" vertical="bottom" wrapText="0"/>
    </xf>
    <xf borderId="1" fillId="0" fontId="9" numFmtId="0" xfId="0" applyAlignment="1" applyBorder="1" applyFont="1">
      <alignment horizontal="right"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2" numFmtId="0" xfId="0" applyAlignment="1" applyFont="1">
      <alignment horizontal="center"/>
    </xf>
    <xf borderId="1" fillId="4" fontId="7" numFmtId="0" xfId="0" applyAlignment="1" applyBorder="1" applyFont="1">
      <alignment horizontal="center" readingOrder="0" shrinkToFit="0" vertical="center" wrapText="1"/>
    </xf>
    <xf borderId="1" fillId="0" fontId="8" numFmtId="1" xfId="0" applyAlignment="1" applyBorder="1" applyFont="1" applyNumberFormat="1">
      <alignment horizontal="center" readingOrder="0" shrinkToFit="0" wrapText="0"/>
    </xf>
    <xf borderId="2" fillId="0" fontId="8" numFmtId="0" xfId="0" applyAlignment="1" applyBorder="1" applyFont="1">
      <alignment readingOrder="0" shrinkToFit="0" vertical="bottom" wrapText="0"/>
    </xf>
    <xf borderId="4" fillId="0" fontId="6" numFmtId="0" xfId="0" applyBorder="1" applyFont="1"/>
    <xf borderId="1" fillId="4" fontId="7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2" max="2" width="30.38"/>
    <col customWidth="1" min="3" max="3" width="17.38"/>
    <col customWidth="1" min="4" max="4" width="13.88"/>
    <col customWidth="1" min="5" max="5" width="14.75"/>
    <col customWidth="1" min="6" max="6" width="19.38"/>
    <col customWidth="1" min="7" max="7" width="19.13"/>
    <col customWidth="1" min="8" max="8" width="22.0"/>
    <col customWidth="1" min="9" max="9" width="19.88"/>
    <col customWidth="1" min="10" max="10" width="15.25"/>
    <col customWidth="1" min="11" max="11" width="22.38"/>
    <col customWidth="1" min="12" max="12" width="19.88"/>
  </cols>
  <sheetData>
    <row r="2">
      <c r="A2" s="1" t="s">
        <v>0</v>
      </c>
      <c r="B2" s="2" t="s">
        <v>1</v>
      </c>
    </row>
    <row r="3">
      <c r="A3" s="1" t="s">
        <v>2</v>
      </c>
      <c r="B3" s="3" t="s">
        <v>3</v>
      </c>
    </row>
    <row r="4">
      <c r="A4" s="1" t="s">
        <v>4</v>
      </c>
      <c r="B4" s="3">
        <v>8.0</v>
      </c>
      <c r="H4" s="4"/>
    </row>
    <row r="5">
      <c r="A5" s="5" t="s">
        <v>5</v>
      </c>
      <c r="B5" s="3" t="s">
        <v>6</v>
      </c>
    </row>
    <row r="10">
      <c r="A10" s="6" t="s">
        <v>7</v>
      </c>
      <c r="B10" s="6" t="s">
        <v>8</v>
      </c>
      <c r="C10" s="6" t="s">
        <v>9</v>
      </c>
      <c r="D10" s="6" t="s">
        <v>10</v>
      </c>
      <c r="E10" s="6" t="s">
        <v>11</v>
      </c>
      <c r="F10" s="6" t="s">
        <v>12</v>
      </c>
      <c r="G10" s="6" t="s">
        <v>13</v>
      </c>
      <c r="H10" s="6" t="s">
        <v>14</v>
      </c>
      <c r="I10" s="6" t="s">
        <v>15</v>
      </c>
      <c r="J10" s="6" t="s">
        <v>16</v>
      </c>
      <c r="K10" s="6" t="s">
        <v>17</v>
      </c>
      <c r="L10" s="6" t="s">
        <v>18</v>
      </c>
    </row>
    <row r="11">
      <c r="A11" s="2" t="s">
        <v>19</v>
      </c>
      <c r="B11" s="7" t="s">
        <v>20</v>
      </c>
      <c r="C11" s="7" t="s">
        <v>21</v>
      </c>
      <c r="D11" s="7" t="s">
        <v>22</v>
      </c>
      <c r="E11" s="7" t="s">
        <v>22</v>
      </c>
      <c r="F11" s="2" t="s">
        <v>23</v>
      </c>
      <c r="G11" s="2" t="s">
        <v>24</v>
      </c>
      <c r="H11" s="2" t="s">
        <v>25</v>
      </c>
      <c r="I11" s="2" t="s">
        <v>26</v>
      </c>
      <c r="J11" s="2" t="s">
        <v>27</v>
      </c>
      <c r="K11" s="2" t="s">
        <v>28</v>
      </c>
      <c r="L11" s="2" t="s">
        <v>29</v>
      </c>
    </row>
    <row r="12">
      <c r="A12" s="2" t="s">
        <v>30</v>
      </c>
      <c r="B12" s="7" t="s">
        <v>20</v>
      </c>
      <c r="C12" s="7" t="s">
        <v>21</v>
      </c>
      <c r="D12" s="7" t="s">
        <v>31</v>
      </c>
      <c r="E12" s="7" t="s">
        <v>22</v>
      </c>
      <c r="F12" s="2" t="s">
        <v>32</v>
      </c>
      <c r="G12" s="2" t="s">
        <v>24</v>
      </c>
      <c r="H12" s="2" t="s">
        <v>25</v>
      </c>
      <c r="I12" s="2" t="s">
        <v>33</v>
      </c>
      <c r="J12" s="2" t="s">
        <v>34</v>
      </c>
      <c r="K12" s="2" t="s">
        <v>35</v>
      </c>
      <c r="L12" s="2" t="s">
        <v>36</v>
      </c>
    </row>
    <row r="13">
      <c r="A13" s="2" t="s">
        <v>37</v>
      </c>
      <c r="B13" s="7" t="s">
        <v>20</v>
      </c>
      <c r="C13" s="7" t="s">
        <v>21</v>
      </c>
      <c r="D13" s="7" t="s">
        <v>38</v>
      </c>
      <c r="E13" s="7" t="s">
        <v>22</v>
      </c>
      <c r="F13" s="2" t="s">
        <v>39</v>
      </c>
      <c r="G13" s="2" t="s">
        <v>24</v>
      </c>
      <c r="H13" s="2" t="s">
        <v>25</v>
      </c>
      <c r="I13" s="2" t="s">
        <v>40</v>
      </c>
      <c r="J13" s="2" t="s">
        <v>41</v>
      </c>
      <c r="K13" s="2" t="s">
        <v>42</v>
      </c>
      <c r="L13" s="2" t="s">
        <v>43</v>
      </c>
    </row>
    <row r="14">
      <c r="A14" s="2" t="s">
        <v>44</v>
      </c>
      <c r="B14" s="7" t="s">
        <v>20</v>
      </c>
      <c r="C14" s="7" t="s">
        <v>21</v>
      </c>
      <c r="D14" s="7" t="s">
        <v>45</v>
      </c>
      <c r="E14" s="7" t="s">
        <v>22</v>
      </c>
      <c r="F14" s="2" t="s">
        <v>46</v>
      </c>
      <c r="G14" s="2" t="s">
        <v>24</v>
      </c>
      <c r="H14" s="2" t="s">
        <v>25</v>
      </c>
      <c r="I14" s="2" t="s">
        <v>47</v>
      </c>
      <c r="J14" s="2" t="s">
        <v>48</v>
      </c>
      <c r="K14" s="2" t="s">
        <v>49</v>
      </c>
      <c r="L14" s="2" t="s">
        <v>50</v>
      </c>
    </row>
    <row r="15">
      <c r="A15" s="2" t="s">
        <v>51</v>
      </c>
      <c r="B15" s="7" t="s">
        <v>20</v>
      </c>
      <c r="C15" s="7" t="s">
        <v>21</v>
      </c>
      <c r="D15" s="7" t="s">
        <v>52</v>
      </c>
      <c r="E15" s="7" t="s">
        <v>22</v>
      </c>
      <c r="F15" s="2" t="s">
        <v>53</v>
      </c>
      <c r="G15" s="2" t="s">
        <v>24</v>
      </c>
      <c r="H15" s="2" t="s">
        <v>25</v>
      </c>
      <c r="I15" s="2" t="s">
        <v>54</v>
      </c>
      <c r="J15" s="2" t="s">
        <v>55</v>
      </c>
      <c r="K15" s="2" t="s">
        <v>56</v>
      </c>
      <c r="L15" s="2" t="s">
        <v>57</v>
      </c>
    </row>
    <row r="16">
      <c r="A16" s="2" t="s">
        <v>58</v>
      </c>
      <c r="B16" s="7" t="s">
        <v>20</v>
      </c>
      <c r="C16" s="7" t="s">
        <v>21</v>
      </c>
      <c r="D16" s="7" t="s">
        <v>59</v>
      </c>
      <c r="E16" s="7" t="s">
        <v>22</v>
      </c>
      <c r="F16" s="2" t="s">
        <v>60</v>
      </c>
      <c r="G16" s="2" t="s">
        <v>24</v>
      </c>
      <c r="H16" s="2" t="s">
        <v>25</v>
      </c>
      <c r="I16" s="2" t="s">
        <v>61</v>
      </c>
      <c r="J16" s="2" t="s">
        <v>62</v>
      </c>
      <c r="K16" s="2" t="s">
        <v>63</v>
      </c>
      <c r="L16" s="2" t="s">
        <v>64</v>
      </c>
    </row>
    <row r="17">
      <c r="A17" s="2" t="s">
        <v>65</v>
      </c>
      <c r="B17" s="7" t="s">
        <v>20</v>
      </c>
      <c r="C17" s="7" t="s">
        <v>21</v>
      </c>
      <c r="D17" s="7" t="s">
        <v>21</v>
      </c>
      <c r="E17" s="7" t="s">
        <v>22</v>
      </c>
      <c r="F17" s="2" t="s">
        <v>66</v>
      </c>
      <c r="G17" s="2" t="s">
        <v>24</v>
      </c>
      <c r="H17" s="2" t="s">
        <v>25</v>
      </c>
      <c r="I17" s="2" t="s">
        <v>67</v>
      </c>
      <c r="J17" s="2" t="s">
        <v>68</v>
      </c>
      <c r="K17" s="2" t="s">
        <v>69</v>
      </c>
      <c r="L17" s="2" t="s">
        <v>70</v>
      </c>
    </row>
    <row r="18">
      <c r="A18" s="2" t="s">
        <v>71</v>
      </c>
      <c r="B18" s="7" t="s">
        <v>20</v>
      </c>
      <c r="C18" s="7" t="s">
        <v>21</v>
      </c>
      <c r="D18" s="7" t="s">
        <v>72</v>
      </c>
      <c r="E18" s="7" t="s">
        <v>22</v>
      </c>
      <c r="F18" s="2" t="s">
        <v>73</v>
      </c>
      <c r="G18" s="2" t="s">
        <v>24</v>
      </c>
      <c r="H18" s="2" t="s">
        <v>25</v>
      </c>
      <c r="I18" s="2" t="s">
        <v>74</v>
      </c>
      <c r="J18" s="2" t="s">
        <v>75</v>
      </c>
      <c r="K18" s="2" t="s">
        <v>76</v>
      </c>
      <c r="L18" s="2" t="s">
        <v>70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75"/>
    <col customWidth="1" min="2" max="2" width="23.0"/>
    <col customWidth="1" min="3" max="3" width="13.88"/>
    <col customWidth="1" min="6" max="6" width="15.75"/>
    <col customWidth="1" min="7" max="7" width="16.13"/>
    <col customWidth="1" min="8" max="8" width="19.88"/>
    <col customWidth="1" min="9" max="9" width="14.75"/>
    <col customWidth="1" min="11" max="11" width="19.63"/>
    <col customWidth="1" min="12" max="12" width="15.88"/>
  </cols>
  <sheetData>
    <row r="1">
      <c r="A1" s="8" t="s">
        <v>77</v>
      </c>
      <c r="B1" s="9" t="s">
        <v>78</v>
      </c>
      <c r="C1" s="10"/>
      <c r="D1" s="11"/>
      <c r="E1" s="11"/>
      <c r="F1" s="11"/>
      <c r="G1" s="11"/>
      <c r="H1" s="11"/>
      <c r="I1" s="11"/>
      <c r="J1" s="11"/>
      <c r="K1" s="11"/>
      <c r="L1" s="11"/>
    </row>
    <row r="2">
      <c r="A2" s="8" t="s">
        <v>79</v>
      </c>
      <c r="B2" s="12" t="s">
        <v>80</v>
      </c>
      <c r="C2" s="10"/>
      <c r="D2" s="11"/>
      <c r="E2" s="11"/>
      <c r="F2" s="11"/>
      <c r="G2" s="11"/>
      <c r="H2" s="11"/>
      <c r="I2" s="11"/>
      <c r="J2" s="11"/>
      <c r="K2" s="11"/>
      <c r="L2" s="11"/>
    </row>
    <row r="3">
      <c r="A3" s="13" t="s">
        <v>81</v>
      </c>
      <c r="B3" s="9">
        <v>8.0</v>
      </c>
      <c r="C3" s="10"/>
      <c r="D3" s="11"/>
      <c r="E3" s="11"/>
      <c r="F3" s="11"/>
      <c r="G3" s="11"/>
      <c r="H3" s="11"/>
      <c r="I3" s="11"/>
      <c r="J3" s="11"/>
      <c r="K3" s="11"/>
      <c r="L3" s="14"/>
    </row>
    <row r="4">
      <c r="A4" s="5" t="s">
        <v>5</v>
      </c>
      <c r="B4" s="3" t="s">
        <v>6</v>
      </c>
      <c r="C4" s="11"/>
      <c r="D4" s="11"/>
      <c r="E4" s="14"/>
      <c r="F4" s="14"/>
      <c r="G4" s="14"/>
      <c r="H4" s="14"/>
      <c r="I4" s="14"/>
      <c r="J4" s="14"/>
      <c r="K4" s="14"/>
      <c r="L4" s="14"/>
    </row>
    <row r="5">
      <c r="A5" s="11"/>
      <c r="B5" s="11"/>
      <c r="C5" s="11"/>
      <c r="D5" s="11"/>
      <c r="E5" s="11"/>
      <c r="F5" s="14"/>
      <c r="G5" s="14"/>
      <c r="H5" s="14"/>
      <c r="I5" s="14"/>
      <c r="J5" s="14"/>
      <c r="K5" s="14"/>
      <c r="L5" s="14"/>
    </row>
    <row r="6">
      <c r="A6" s="6" t="s">
        <v>7</v>
      </c>
      <c r="B6" s="6" t="s">
        <v>8</v>
      </c>
      <c r="C6" s="6" t="s">
        <v>9</v>
      </c>
      <c r="D6" s="6" t="s">
        <v>10</v>
      </c>
      <c r="E6" s="6" t="s">
        <v>11</v>
      </c>
      <c r="F6" s="6" t="s">
        <v>12</v>
      </c>
      <c r="G6" s="6" t="s">
        <v>13</v>
      </c>
      <c r="H6" s="6" t="s">
        <v>14</v>
      </c>
      <c r="I6" s="6" t="s">
        <v>15</v>
      </c>
      <c r="J6" s="6" t="s">
        <v>16</v>
      </c>
      <c r="K6" s="6" t="s">
        <v>17</v>
      </c>
      <c r="L6" s="6" t="s">
        <v>82</v>
      </c>
    </row>
    <row r="7">
      <c r="A7" s="15" t="s">
        <v>19</v>
      </c>
      <c r="B7" s="7" t="s">
        <v>20</v>
      </c>
      <c r="C7" s="7" t="s">
        <v>21</v>
      </c>
      <c r="D7" s="7" t="s">
        <v>31</v>
      </c>
      <c r="E7" s="7" t="s">
        <v>22</v>
      </c>
      <c r="F7" s="2" t="s">
        <v>32</v>
      </c>
      <c r="G7" s="2" t="s">
        <v>83</v>
      </c>
      <c r="H7" s="2" t="s">
        <v>84</v>
      </c>
      <c r="I7" s="2" t="s">
        <v>33</v>
      </c>
      <c r="J7" s="2" t="s">
        <v>85</v>
      </c>
      <c r="K7" s="2" t="s">
        <v>86</v>
      </c>
      <c r="L7" s="2" t="s">
        <v>29</v>
      </c>
    </row>
    <row r="8">
      <c r="A8" s="15" t="s">
        <v>30</v>
      </c>
      <c r="B8" s="7" t="s">
        <v>20</v>
      </c>
      <c r="C8" s="7" t="s">
        <v>21</v>
      </c>
      <c r="D8" s="7" t="s">
        <v>87</v>
      </c>
      <c r="E8" s="7" t="s">
        <v>22</v>
      </c>
      <c r="F8" s="2" t="s">
        <v>88</v>
      </c>
      <c r="G8" s="2" t="s">
        <v>83</v>
      </c>
      <c r="H8" s="2" t="s">
        <v>84</v>
      </c>
      <c r="I8" s="2" t="s">
        <v>89</v>
      </c>
      <c r="J8" s="2" t="s">
        <v>90</v>
      </c>
      <c r="K8" s="2" t="s">
        <v>91</v>
      </c>
      <c r="L8" s="2" t="s">
        <v>92</v>
      </c>
    </row>
    <row r="9">
      <c r="A9" s="15" t="s">
        <v>37</v>
      </c>
      <c r="B9" s="7" t="s">
        <v>20</v>
      </c>
      <c r="C9" s="7" t="s">
        <v>21</v>
      </c>
      <c r="D9" s="7" t="s">
        <v>93</v>
      </c>
      <c r="E9" s="7" t="s">
        <v>22</v>
      </c>
      <c r="F9" s="2" t="s">
        <v>94</v>
      </c>
      <c r="G9" s="2" t="s">
        <v>83</v>
      </c>
      <c r="H9" s="2" t="s">
        <v>84</v>
      </c>
      <c r="I9" s="2" t="s">
        <v>95</v>
      </c>
      <c r="J9" s="2" t="s">
        <v>96</v>
      </c>
      <c r="K9" s="2" t="s">
        <v>97</v>
      </c>
      <c r="L9" s="16" t="s">
        <v>98</v>
      </c>
    </row>
    <row r="10">
      <c r="A10" s="15" t="s">
        <v>44</v>
      </c>
      <c r="B10" s="7" t="s">
        <v>20</v>
      </c>
      <c r="C10" s="7" t="s">
        <v>21</v>
      </c>
      <c r="D10" s="7" t="s">
        <v>99</v>
      </c>
      <c r="E10" s="7" t="s">
        <v>22</v>
      </c>
      <c r="F10" s="2" t="s">
        <v>100</v>
      </c>
      <c r="G10" s="2" t="s">
        <v>83</v>
      </c>
      <c r="H10" s="2" t="s">
        <v>84</v>
      </c>
      <c r="I10" s="2" t="s">
        <v>101</v>
      </c>
      <c r="J10" s="2" t="s">
        <v>102</v>
      </c>
      <c r="K10" s="2" t="s">
        <v>103</v>
      </c>
      <c r="L10" s="16" t="s">
        <v>104</v>
      </c>
    </row>
    <row r="11">
      <c r="A11" s="15" t="s">
        <v>51</v>
      </c>
      <c r="B11" s="7" t="s">
        <v>20</v>
      </c>
      <c r="C11" s="7" t="s">
        <v>21</v>
      </c>
      <c r="D11" s="7" t="s">
        <v>105</v>
      </c>
      <c r="E11" s="7" t="s">
        <v>22</v>
      </c>
      <c r="F11" s="2" t="s">
        <v>106</v>
      </c>
      <c r="G11" s="2" t="s">
        <v>83</v>
      </c>
      <c r="H11" s="2" t="s">
        <v>84</v>
      </c>
      <c r="I11" s="2" t="s">
        <v>107</v>
      </c>
      <c r="J11" s="2" t="s">
        <v>108</v>
      </c>
      <c r="K11" s="2" t="s">
        <v>109</v>
      </c>
      <c r="L11" s="16" t="s">
        <v>110</v>
      </c>
    </row>
    <row r="12">
      <c r="A12" s="15" t="s">
        <v>58</v>
      </c>
      <c r="B12" s="7" t="s">
        <v>20</v>
      </c>
      <c r="C12" s="7" t="s">
        <v>21</v>
      </c>
      <c r="D12" s="7" t="s">
        <v>111</v>
      </c>
      <c r="E12" s="7" t="s">
        <v>22</v>
      </c>
      <c r="F12" s="2" t="s">
        <v>112</v>
      </c>
      <c r="G12" s="2" t="s">
        <v>83</v>
      </c>
      <c r="H12" s="2" t="s">
        <v>84</v>
      </c>
      <c r="I12" s="2" t="s">
        <v>113</v>
      </c>
      <c r="J12" s="2" t="s">
        <v>114</v>
      </c>
      <c r="K12" s="2" t="s">
        <v>115</v>
      </c>
      <c r="L12" s="16" t="s">
        <v>116</v>
      </c>
    </row>
    <row r="13">
      <c r="A13" s="15" t="s">
        <v>65</v>
      </c>
      <c r="B13" s="7" t="s">
        <v>20</v>
      </c>
      <c r="C13" s="7" t="s">
        <v>21</v>
      </c>
      <c r="D13" s="7" t="s">
        <v>117</v>
      </c>
      <c r="E13" s="7" t="s">
        <v>22</v>
      </c>
      <c r="F13" s="2" t="s">
        <v>118</v>
      </c>
      <c r="G13" s="2" t="s">
        <v>83</v>
      </c>
      <c r="H13" s="2" t="s">
        <v>84</v>
      </c>
      <c r="I13" s="2" t="s">
        <v>119</v>
      </c>
      <c r="J13" s="2" t="s">
        <v>120</v>
      </c>
      <c r="K13" s="2" t="s">
        <v>121</v>
      </c>
      <c r="L13" s="16" t="s">
        <v>122</v>
      </c>
    </row>
    <row r="14">
      <c r="A14" s="15" t="s">
        <v>71</v>
      </c>
      <c r="B14" s="7" t="s">
        <v>20</v>
      </c>
      <c r="C14" s="7" t="s">
        <v>21</v>
      </c>
      <c r="D14" s="7" t="s">
        <v>123</v>
      </c>
      <c r="E14" s="7" t="s">
        <v>22</v>
      </c>
      <c r="F14" s="2" t="s">
        <v>124</v>
      </c>
      <c r="G14" s="2" t="s">
        <v>83</v>
      </c>
      <c r="H14" s="2" t="s">
        <v>84</v>
      </c>
      <c r="I14" s="2" t="s">
        <v>125</v>
      </c>
      <c r="J14" s="2" t="s">
        <v>34</v>
      </c>
      <c r="K14" s="2" t="s">
        <v>35</v>
      </c>
      <c r="L14" s="2" t="s">
        <v>70</v>
      </c>
    </row>
    <row r="15">
      <c r="A15" s="14"/>
      <c r="B15" s="14"/>
      <c r="C15" s="14"/>
      <c r="D15" s="14"/>
      <c r="K15" s="14"/>
      <c r="L15" s="14"/>
    </row>
    <row r="16">
      <c r="A16" s="14"/>
      <c r="B16" s="14"/>
      <c r="C16" s="14"/>
      <c r="D16" s="14"/>
      <c r="K16" s="14"/>
      <c r="L16" s="14"/>
    </row>
    <row r="17">
      <c r="G17" s="2" t="s">
        <v>126</v>
      </c>
      <c r="H17" s="2" t="s">
        <v>127</v>
      </c>
      <c r="I17" s="2" t="s">
        <v>128</v>
      </c>
      <c r="J17" s="2" t="s">
        <v>15</v>
      </c>
      <c r="K17" s="2" t="s">
        <v>129</v>
      </c>
      <c r="L17" s="2" t="s">
        <v>130</v>
      </c>
    </row>
    <row r="18">
      <c r="G18" s="2" t="s">
        <v>131</v>
      </c>
      <c r="H18" s="2" t="s">
        <v>88</v>
      </c>
      <c r="I18" s="2" t="s">
        <v>132</v>
      </c>
      <c r="J18" s="2" t="s">
        <v>89</v>
      </c>
      <c r="K18" s="2" t="s">
        <v>133</v>
      </c>
      <c r="L18" s="2" t="s">
        <v>134</v>
      </c>
    </row>
    <row r="19">
      <c r="G19" s="2" t="s">
        <v>135</v>
      </c>
      <c r="H19" s="2" t="s">
        <v>136</v>
      </c>
      <c r="I19" s="2" t="s">
        <v>132</v>
      </c>
      <c r="J19" s="2" t="s">
        <v>137</v>
      </c>
      <c r="K19" s="2" t="s">
        <v>138</v>
      </c>
      <c r="L19" s="2" t="s">
        <v>139</v>
      </c>
    </row>
    <row r="20">
      <c r="G20" s="2" t="s">
        <v>140</v>
      </c>
      <c r="H20" s="2" t="s">
        <v>141</v>
      </c>
      <c r="I20" s="2" t="s">
        <v>132</v>
      </c>
      <c r="J20" s="2" t="s">
        <v>142</v>
      </c>
      <c r="K20" s="2" t="s">
        <v>143</v>
      </c>
      <c r="L20" s="2" t="s">
        <v>144</v>
      </c>
    </row>
    <row r="21">
      <c r="G21" s="2" t="s">
        <v>145</v>
      </c>
      <c r="H21" s="2" t="s">
        <v>146</v>
      </c>
      <c r="I21" s="2" t="s">
        <v>132</v>
      </c>
      <c r="J21" s="2" t="s">
        <v>147</v>
      </c>
      <c r="K21" s="2" t="s">
        <v>148</v>
      </c>
      <c r="L21" s="2" t="s">
        <v>149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19.13"/>
    <col customWidth="1" min="3" max="3" width="30.25"/>
    <col customWidth="1" min="4" max="4" width="15.5"/>
    <col customWidth="1" min="7" max="7" width="22.75"/>
    <col customWidth="1" min="8" max="8" width="17.75"/>
    <col customWidth="1" min="9" max="9" width="16.25"/>
    <col customWidth="1" min="10" max="10" width="14.63"/>
    <col customWidth="1" min="11" max="11" width="15.75"/>
    <col customWidth="1" min="12" max="12" width="14.63"/>
    <col customWidth="1" min="13" max="13" width="14.0"/>
  </cols>
  <sheetData>
    <row r="1">
      <c r="A1" s="5" t="s">
        <v>150</v>
      </c>
      <c r="B1" s="17" t="s">
        <v>151</v>
      </c>
      <c r="C1" s="18"/>
    </row>
    <row r="2">
      <c r="A2" s="19" t="s">
        <v>77</v>
      </c>
      <c r="B2" s="20" t="s">
        <v>152</v>
      </c>
      <c r="C2" s="18"/>
    </row>
    <row r="3">
      <c r="A3" s="19" t="s">
        <v>153</v>
      </c>
      <c r="B3" s="21" t="s">
        <v>154</v>
      </c>
      <c r="C3" s="18"/>
    </row>
    <row r="6">
      <c r="A6" s="22" t="s">
        <v>155</v>
      </c>
      <c r="B6" s="22" t="s">
        <v>156</v>
      </c>
      <c r="C6" s="22" t="s">
        <v>157</v>
      </c>
      <c r="D6" s="22" t="s">
        <v>158</v>
      </c>
      <c r="E6" s="22" t="s">
        <v>159</v>
      </c>
      <c r="F6" s="22" t="s">
        <v>160</v>
      </c>
      <c r="G6" s="22" t="s">
        <v>161</v>
      </c>
      <c r="H6" s="22" t="s">
        <v>14</v>
      </c>
      <c r="I6" s="22" t="s">
        <v>162</v>
      </c>
      <c r="J6" s="22" t="s">
        <v>127</v>
      </c>
      <c r="K6" s="22" t="s">
        <v>15</v>
      </c>
      <c r="L6" s="22" t="s">
        <v>16</v>
      </c>
      <c r="M6" s="22" t="s">
        <v>163</v>
      </c>
    </row>
    <row r="7">
      <c r="A7" s="23" t="s">
        <v>164</v>
      </c>
      <c r="B7" s="23">
        <v>198.0</v>
      </c>
      <c r="C7" s="23">
        <v>248.0</v>
      </c>
      <c r="D7" s="23" t="s">
        <v>165</v>
      </c>
      <c r="E7" s="23">
        <v>10.0</v>
      </c>
      <c r="F7" s="23">
        <v>8.0</v>
      </c>
      <c r="G7" s="23">
        <v>254.0</v>
      </c>
      <c r="H7" s="23" t="s">
        <v>166</v>
      </c>
      <c r="I7" s="23" t="s">
        <v>167</v>
      </c>
      <c r="J7" s="23" t="s">
        <v>94</v>
      </c>
      <c r="K7" s="23" t="s">
        <v>95</v>
      </c>
      <c r="L7" s="23" t="s">
        <v>168</v>
      </c>
      <c r="M7" s="23" t="s">
        <v>169</v>
      </c>
    </row>
    <row r="8">
      <c r="A8" s="23" t="s">
        <v>170</v>
      </c>
      <c r="B8" s="23">
        <v>100.0</v>
      </c>
      <c r="C8" s="23">
        <v>125.0</v>
      </c>
      <c r="D8" s="23" t="s">
        <v>171</v>
      </c>
      <c r="E8" s="23">
        <v>11.0</v>
      </c>
      <c r="F8" s="23">
        <v>7.0</v>
      </c>
      <c r="G8" s="23">
        <v>126.0</v>
      </c>
      <c r="H8" s="23" t="s">
        <v>172</v>
      </c>
      <c r="I8" s="23" t="s">
        <v>173</v>
      </c>
      <c r="J8" s="23" t="s">
        <v>174</v>
      </c>
      <c r="K8" s="23" t="s">
        <v>175</v>
      </c>
      <c r="L8" s="23" t="s">
        <v>176</v>
      </c>
      <c r="M8" s="23" t="s">
        <v>177</v>
      </c>
    </row>
    <row r="9">
      <c r="A9" s="23" t="s">
        <v>178</v>
      </c>
      <c r="B9" s="23">
        <v>41.0</v>
      </c>
      <c r="C9" s="23">
        <v>52.0</v>
      </c>
      <c r="D9" s="23" t="s">
        <v>179</v>
      </c>
      <c r="E9" s="23">
        <v>12.0</v>
      </c>
      <c r="F9" s="23">
        <v>6.0</v>
      </c>
      <c r="G9" s="23">
        <v>62.0</v>
      </c>
      <c r="H9" s="23" t="s">
        <v>180</v>
      </c>
      <c r="I9" s="23" t="s">
        <v>181</v>
      </c>
      <c r="J9" s="23" t="s">
        <v>182</v>
      </c>
      <c r="K9" s="23" t="s">
        <v>183</v>
      </c>
      <c r="L9" s="23" t="s">
        <v>184</v>
      </c>
      <c r="M9" s="23" t="s">
        <v>185</v>
      </c>
    </row>
    <row r="10">
      <c r="A10" s="23" t="s">
        <v>186</v>
      </c>
      <c r="B10" s="23">
        <v>31.0</v>
      </c>
      <c r="C10" s="23">
        <v>39.0</v>
      </c>
      <c r="D10" s="23" t="s">
        <v>187</v>
      </c>
      <c r="E10" s="23">
        <v>13.0</v>
      </c>
      <c r="F10" s="23">
        <v>6.0</v>
      </c>
      <c r="G10" s="23">
        <v>62.0</v>
      </c>
      <c r="H10" s="23" t="s">
        <v>180</v>
      </c>
      <c r="I10" s="23" t="s">
        <v>181</v>
      </c>
      <c r="J10" s="23" t="s">
        <v>188</v>
      </c>
      <c r="K10" s="23" t="s">
        <v>189</v>
      </c>
      <c r="L10" s="23" t="s">
        <v>190</v>
      </c>
      <c r="M10" s="23" t="s">
        <v>191</v>
      </c>
    </row>
    <row r="11">
      <c r="A11" s="23" t="s">
        <v>192</v>
      </c>
      <c r="B11" s="23">
        <v>29.0</v>
      </c>
      <c r="C11" s="23">
        <v>37.0</v>
      </c>
      <c r="D11" s="23" t="s">
        <v>193</v>
      </c>
      <c r="E11" s="23">
        <v>14.0</v>
      </c>
      <c r="F11" s="23">
        <v>6.0</v>
      </c>
      <c r="G11" s="23">
        <v>62.0</v>
      </c>
      <c r="H11" s="23" t="s">
        <v>180</v>
      </c>
      <c r="I11" s="23" t="s">
        <v>181</v>
      </c>
      <c r="J11" s="23" t="s">
        <v>194</v>
      </c>
      <c r="K11" s="23" t="s">
        <v>195</v>
      </c>
      <c r="L11" s="23" t="s">
        <v>196</v>
      </c>
      <c r="M11" s="23" t="s">
        <v>197</v>
      </c>
    </row>
    <row r="12">
      <c r="A12" s="23" t="s">
        <v>198</v>
      </c>
      <c r="B12" s="23">
        <v>25.0</v>
      </c>
      <c r="C12" s="23">
        <v>32.0</v>
      </c>
      <c r="D12" s="23" t="s">
        <v>199</v>
      </c>
      <c r="E12" s="23">
        <v>15.0</v>
      </c>
      <c r="F12" s="23">
        <v>6.0</v>
      </c>
      <c r="G12" s="23">
        <v>62.0</v>
      </c>
      <c r="H12" s="23" t="s">
        <v>180</v>
      </c>
      <c r="I12" s="23" t="s">
        <v>181</v>
      </c>
      <c r="J12" s="23" t="s">
        <v>200</v>
      </c>
      <c r="K12" s="23" t="s">
        <v>201</v>
      </c>
      <c r="L12" s="23" t="s">
        <v>202</v>
      </c>
      <c r="M12" s="23" t="s">
        <v>203</v>
      </c>
    </row>
    <row r="13">
      <c r="A13" s="23" t="s">
        <v>204</v>
      </c>
      <c r="B13" s="23">
        <v>18.0</v>
      </c>
      <c r="C13" s="23">
        <v>23.0</v>
      </c>
      <c r="D13" s="23" t="s">
        <v>205</v>
      </c>
      <c r="E13" s="23">
        <v>16.0</v>
      </c>
      <c r="F13" s="23">
        <v>5.0</v>
      </c>
      <c r="G13" s="23">
        <v>30.0</v>
      </c>
      <c r="H13" s="23" t="s">
        <v>206</v>
      </c>
      <c r="I13" s="23" t="s">
        <v>207</v>
      </c>
      <c r="J13" s="23" t="s">
        <v>208</v>
      </c>
      <c r="K13" s="23" t="s">
        <v>209</v>
      </c>
      <c r="L13" s="23" t="s">
        <v>210</v>
      </c>
      <c r="M13" s="23" t="s">
        <v>211</v>
      </c>
    </row>
    <row r="14">
      <c r="A14" s="23" t="s">
        <v>212</v>
      </c>
      <c r="B14" s="23">
        <v>15.0</v>
      </c>
      <c r="C14" s="23">
        <v>19.0</v>
      </c>
      <c r="D14" s="23" t="s">
        <v>213</v>
      </c>
      <c r="E14" s="23">
        <v>99.0</v>
      </c>
      <c r="F14" s="23">
        <v>5.0</v>
      </c>
      <c r="G14" s="23">
        <v>30.0</v>
      </c>
      <c r="H14" s="23" t="s">
        <v>206</v>
      </c>
      <c r="I14" s="23" t="s">
        <v>207</v>
      </c>
      <c r="J14" s="23" t="s">
        <v>214</v>
      </c>
      <c r="K14" s="23" t="s">
        <v>215</v>
      </c>
      <c r="L14" s="23" t="s">
        <v>216</v>
      </c>
      <c r="M14" s="23" t="s">
        <v>217</v>
      </c>
    </row>
    <row r="15">
      <c r="A15" s="23" t="s">
        <v>218</v>
      </c>
      <c r="B15" s="23">
        <v>10.0</v>
      </c>
      <c r="C15" s="23">
        <v>13.0</v>
      </c>
      <c r="D15" s="23" t="s">
        <v>219</v>
      </c>
      <c r="E15" s="23">
        <v>17.0</v>
      </c>
      <c r="F15" s="23">
        <v>4.0</v>
      </c>
      <c r="G15" s="23">
        <v>14.0</v>
      </c>
      <c r="H15" s="23" t="s">
        <v>220</v>
      </c>
      <c r="I15" s="23" t="s">
        <v>221</v>
      </c>
      <c r="J15" s="23" t="s">
        <v>222</v>
      </c>
      <c r="K15" s="23" t="s">
        <v>223</v>
      </c>
      <c r="L15" s="23" t="s">
        <v>224</v>
      </c>
      <c r="M15" s="23" t="s">
        <v>225</v>
      </c>
    </row>
    <row r="18">
      <c r="A18" s="24" t="s">
        <v>226</v>
      </c>
      <c r="B18" s="25" t="s">
        <v>227</v>
      </c>
    </row>
    <row r="19">
      <c r="A19" s="24" t="s">
        <v>228</v>
      </c>
      <c r="B19" s="25" t="s">
        <v>229</v>
      </c>
    </row>
  </sheetData>
  <mergeCells count="3">
    <mergeCell ref="B1:C1"/>
    <mergeCell ref="B2:C2"/>
    <mergeCell ref="B3:C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25.88"/>
    <col customWidth="1" min="3" max="3" width="41.75"/>
    <col customWidth="1" min="4" max="4" width="23.25"/>
    <col customWidth="1" min="5" max="5" width="13.13"/>
    <col customWidth="1" min="7" max="7" width="18.25"/>
    <col customWidth="1" min="8" max="8" width="25.25"/>
    <col customWidth="1" min="9" max="9" width="21.38"/>
    <col customWidth="1" min="10" max="10" width="19.13"/>
    <col customWidth="1" min="11" max="11" width="20.75"/>
    <col customWidth="1" min="12" max="12" width="18.88"/>
    <col customWidth="1" min="13" max="13" width="20.88"/>
  </cols>
  <sheetData>
    <row r="1">
      <c r="A1" s="24" t="s">
        <v>150</v>
      </c>
      <c r="B1" s="25" t="s">
        <v>230</v>
      </c>
      <c r="C1" s="26"/>
      <c r="D1" s="27"/>
      <c r="E1" s="28"/>
      <c r="F1" s="28"/>
      <c r="G1" s="28"/>
      <c r="H1" s="28"/>
      <c r="I1" s="28"/>
      <c r="J1" s="28"/>
      <c r="K1" s="28"/>
      <c r="L1" s="28"/>
      <c r="M1" s="28"/>
    </row>
    <row r="2">
      <c r="A2" s="24" t="s">
        <v>77</v>
      </c>
      <c r="B2" s="25" t="s">
        <v>104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</row>
    <row r="3">
      <c r="A3" s="24" t="s">
        <v>79</v>
      </c>
      <c r="B3" s="25" t="s">
        <v>231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</row>
    <row r="4">
      <c r="A4" s="28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</row>
    <row r="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</row>
    <row r="6">
      <c r="A6" s="22" t="s">
        <v>155</v>
      </c>
      <c r="B6" s="22" t="s">
        <v>156</v>
      </c>
      <c r="C6" s="22" t="s">
        <v>157</v>
      </c>
      <c r="D6" s="22" t="s">
        <v>158</v>
      </c>
      <c r="E6" s="22" t="s">
        <v>159</v>
      </c>
      <c r="F6" s="22" t="s">
        <v>160</v>
      </c>
      <c r="G6" s="22" t="s">
        <v>161</v>
      </c>
      <c r="H6" s="22" t="s">
        <v>14</v>
      </c>
      <c r="I6" s="22" t="s">
        <v>162</v>
      </c>
      <c r="J6" s="22" t="s">
        <v>127</v>
      </c>
      <c r="K6" s="22" t="s">
        <v>15</v>
      </c>
      <c r="L6" s="22" t="s">
        <v>16</v>
      </c>
      <c r="M6" s="22" t="s">
        <v>163</v>
      </c>
    </row>
    <row r="7">
      <c r="A7" s="23" t="s">
        <v>164</v>
      </c>
      <c r="B7" s="23">
        <v>70.0</v>
      </c>
      <c r="C7" s="23">
        <v>88.0</v>
      </c>
      <c r="D7" s="23" t="s">
        <v>165</v>
      </c>
      <c r="E7" s="23">
        <v>30.0</v>
      </c>
      <c r="F7" s="23">
        <v>7.0</v>
      </c>
      <c r="G7" s="23">
        <v>126.0</v>
      </c>
      <c r="H7" s="23" t="s">
        <v>172</v>
      </c>
      <c r="I7" s="23" t="s">
        <v>173</v>
      </c>
      <c r="J7" s="23" t="s">
        <v>100</v>
      </c>
      <c r="K7" s="23" t="s">
        <v>101</v>
      </c>
      <c r="L7" s="23" t="s">
        <v>232</v>
      </c>
      <c r="M7" s="23" t="s">
        <v>233</v>
      </c>
    </row>
    <row r="8">
      <c r="A8" s="23" t="s">
        <v>170</v>
      </c>
      <c r="B8" s="23">
        <v>35.0</v>
      </c>
      <c r="C8" s="23">
        <v>44.0</v>
      </c>
      <c r="D8" s="23" t="s">
        <v>171</v>
      </c>
      <c r="E8" s="23">
        <v>31.0</v>
      </c>
      <c r="F8" s="23">
        <v>6.0</v>
      </c>
      <c r="G8" s="23">
        <v>62.0</v>
      </c>
      <c r="H8" s="23" t="s">
        <v>180</v>
      </c>
      <c r="I8" s="23" t="s">
        <v>181</v>
      </c>
      <c r="J8" s="23" t="s">
        <v>234</v>
      </c>
      <c r="K8" s="23" t="s">
        <v>235</v>
      </c>
      <c r="L8" s="23" t="s">
        <v>236</v>
      </c>
      <c r="M8" s="23" t="s">
        <v>237</v>
      </c>
    </row>
    <row r="9">
      <c r="A9" s="23" t="s">
        <v>178</v>
      </c>
      <c r="B9" s="23">
        <v>15.0</v>
      </c>
      <c r="C9" s="23">
        <v>19.0</v>
      </c>
      <c r="D9" s="23" t="s">
        <v>179</v>
      </c>
      <c r="E9" s="23">
        <v>32.0</v>
      </c>
      <c r="F9" s="23">
        <v>5.0</v>
      </c>
      <c r="G9" s="23">
        <v>30.0</v>
      </c>
      <c r="H9" s="23" t="s">
        <v>206</v>
      </c>
      <c r="I9" s="23" t="s">
        <v>207</v>
      </c>
      <c r="J9" s="23" t="s">
        <v>238</v>
      </c>
      <c r="K9" s="23" t="s">
        <v>239</v>
      </c>
      <c r="L9" s="23" t="s">
        <v>240</v>
      </c>
      <c r="M9" s="23" t="s">
        <v>241</v>
      </c>
    </row>
    <row r="10">
      <c r="A10" s="23" t="s">
        <v>186</v>
      </c>
      <c r="B10" s="23">
        <v>11.0</v>
      </c>
      <c r="C10" s="23">
        <v>14.0</v>
      </c>
      <c r="D10" s="23" t="s">
        <v>187</v>
      </c>
      <c r="E10" s="23">
        <v>33.0</v>
      </c>
      <c r="F10" s="23">
        <v>4.0</v>
      </c>
      <c r="G10" s="23">
        <v>14.0</v>
      </c>
      <c r="H10" s="23" t="s">
        <v>220</v>
      </c>
      <c r="I10" s="23" t="s">
        <v>221</v>
      </c>
      <c r="J10" s="23" t="s">
        <v>242</v>
      </c>
      <c r="K10" s="23" t="s">
        <v>243</v>
      </c>
      <c r="L10" s="23" t="s">
        <v>244</v>
      </c>
      <c r="M10" s="23" t="s">
        <v>245</v>
      </c>
    </row>
    <row r="11">
      <c r="A11" s="23" t="s">
        <v>192</v>
      </c>
      <c r="B11" s="23">
        <v>10.0</v>
      </c>
      <c r="C11" s="23">
        <v>13.0</v>
      </c>
      <c r="D11" s="23" t="s">
        <v>193</v>
      </c>
      <c r="E11" s="23">
        <v>34.0</v>
      </c>
      <c r="F11" s="23">
        <v>4.0</v>
      </c>
      <c r="G11" s="23">
        <v>14.0</v>
      </c>
      <c r="H11" s="23" t="s">
        <v>220</v>
      </c>
      <c r="I11" s="23" t="s">
        <v>221</v>
      </c>
      <c r="J11" s="23" t="s">
        <v>246</v>
      </c>
      <c r="K11" s="23" t="s">
        <v>247</v>
      </c>
      <c r="L11" s="23" t="s">
        <v>248</v>
      </c>
      <c r="M11" s="23" t="s">
        <v>249</v>
      </c>
    </row>
    <row r="12">
      <c r="A12" s="23" t="s">
        <v>198</v>
      </c>
      <c r="B12" s="23">
        <v>9.0</v>
      </c>
      <c r="C12" s="23">
        <v>12.0</v>
      </c>
      <c r="D12" s="23" t="s">
        <v>199</v>
      </c>
      <c r="E12" s="23">
        <v>35.0</v>
      </c>
      <c r="F12" s="23">
        <v>4.0</v>
      </c>
      <c r="G12" s="23">
        <v>14.0</v>
      </c>
      <c r="H12" s="23" t="s">
        <v>220</v>
      </c>
      <c r="I12" s="23" t="s">
        <v>221</v>
      </c>
      <c r="J12" s="23" t="s">
        <v>250</v>
      </c>
      <c r="K12" s="23" t="s">
        <v>251</v>
      </c>
      <c r="L12" s="23" t="s">
        <v>252</v>
      </c>
      <c r="M12" s="23" t="s">
        <v>253</v>
      </c>
    </row>
    <row r="13">
      <c r="A13" s="23" t="s">
        <v>204</v>
      </c>
      <c r="B13" s="23">
        <v>6.0</v>
      </c>
      <c r="C13" s="23">
        <v>8.0</v>
      </c>
      <c r="D13" s="23" t="s">
        <v>205</v>
      </c>
      <c r="E13" s="23">
        <v>36.0</v>
      </c>
      <c r="F13" s="23">
        <v>4.0</v>
      </c>
      <c r="G13" s="23">
        <v>14.0</v>
      </c>
      <c r="H13" s="23" t="s">
        <v>220</v>
      </c>
      <c r="I13" s="23" t="s">
        <v>221</v>
      </c>
      <c r="J13" s="23" t="s">
        <v>254</v>
      </c>
      <c r="K13" s="23" t="s">
        <v>255</v>
      </c>
      <c r="L13" s="23" t="s">
        <v>256</v>
      </c>
      <c r="M13" s="23" t="s">
        <v>257</v>
      </c>
    </row>
    <row r="14">
      <c r="A14" s="23" t="s">
        <v>258</v>
      </c>
      <c r="B14" s="23">
        <v>2.0</v>
      </c>
      <c r="C14" s="23">
        <v>3.0</v>
      </c>
      <c r="D14" s="23" t="s">
        <v>213</v>
      </c>
      <c r="E14" s="23">
        <v>99.0</v>
      </c>
      <c r="F14" s="23">
        <v>3.0</v>
      </c>
      <c r="G14" s="23">
        <v>6.0</v>
      </c>
      <c r="H14" s="23" t="s">
        <v>259</v>
      </c>
      <c r="I14" s="23" t="s">
        <v>260</v>
      </c>
      <c r="J14" s="23" t="s">
        <v>261</v>
      </c>
      <c r="K14" s="23" t="s">
        <v>262</v>
      </c>
      <c r="L14" s="23" t="s">
        <v>263</v>
      </c>
      <c r="M14" s="23" t="s">
        <v>264</v>
      </c>
    </row>
    <row r="15">
      <c r="A15" s="23" t="s">
        <v>218</v>
      </c>
      <c r="B15" s="23">
        <v>2.0</v>
      </c>
      <c r="C15" s="23">
        <v>3.0</v>
      </c>
      <c r="D15" s="23" t="s">
        <v>219</v>
      </c>
      <c r="E15" s="23">
        <v>37.0</v>
      </c>
      <c r="F15" s="23">
        <v>3.0</v>
      </c>
      <c r="G15" s="23">
        <v>6.0</v>
      </c>
      <c r="H15" s="23" t="s">
        <v>259</v>
      </c>
      <c r="I15" s="23" t="s">
        <v>260</v>
      </c>
      <c r="J15" s="23" t="s">
        <v>265</v>
      </c>
      <c r="K15" s="23" t="s">
        <v>266</v>
      </c>
      <c r="L15" s="23" t="s">
        <v>267</v>
      </c>
      <c r="M15" s="23" t="s">
        <v>268</v>
      </c>
    </row>
    <row r="16">
      <c r="A16" s="24" t="s">
        <v>269</v>
      </c>
      <c r="B16" s="29">
        <f>SUM(B7:B15)</f>
        <v>160</v>
      </c>
      <c r="C16" s="29">
        <v>204.0</v>
      </c>
      <c r="D16" s="28"/>
      <c r="E16" s="28"/>
      <c r="F16" s="28"/>
      <c r="G16" s="29">
        <v>286.0</v>
      </c>
      <c r="H16" s="28"/>
      <c r="I16" s="28"/>
      <c r="J16" s="28"/>
      <c r="K16" s="28"/>
      <c r="L16" s="28"/>
      <c r="M16" s="28"/>
    </row>
    <row r="17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</row>
    <row r="18">
      <c r="A18" s="24" t="s">
        <v>228</v>
      </c>
      <c r="B18" s="25" t="s">
        <v>270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</row>
    <row r="19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2" max="2" width="19.13"/>
    <col customWidth="1" min="3" max="3" width="31.38"/>
    <col customWidth="1" min="4" max="4" width="24.88"/>
    <col customWidth="1" min="5" max="5" width="41.25"/>
    <col customWidth="1" min="6" max="6" width="17.5"/>
    <col customWidth="1" min="7" max="7" width="18.5"/>
    <col customWidth="1" min="8" max="8" width="15.25"/>
    <col customWidth="1" min="9" max="9" width="14.38"/>
    <col customWidth="1" min="10" max="10" width="14.25"/>
    <col customWidth="1" min="11" max="11" width="20.38"/>
  </cols>
  <sheetData>
    <row r="1">
      <c r="A1" s="24" t="s">
        <v>150</v>
      </c>
      <c r="B1" s="25" t="s">
        <v>271</v>
      </c>
      <c r="C1" s="26"/>
      <c r="D1" s="27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  <c r="CE1" s="28"/>
      <c r="CF1" s="28"/>
      <c r="CG1" s="28"/>
      <c r="CH1" s="28"/>
      <c r="CI1" s="28"/>
      <c r="CJ1" s="28"/>
      <c r="CK1" s="28"/>
      <c r="CL1" s="28"/>
      <c r="CM1" s="28"/>
      <c r="CN1" s="28"/>
      <c r="CO1" s="28"/>
      <c r="CP1" s="28"/>
      <c r="CQ1" s="28"/>
      <c r="CR1" s="28"/>
      <c r="CS1" s="28"/>
      <c r="CT1" s="28"/>
      <c r="CU1" s="28"/>
      <c r="CV1" s="28"/>
      <c r="CW1" s="28"/>
      <c r="CX1" s="28"/>
      <c r="CY1" s="28"/>
      <c r="CZ1" s="28"/>
      <c r="DA1" s="28"/>
      <c r="DB1" s="28"/>
      <c r="DC1" s="28"/>
      <c r="DD1" s="28"/>
      <c r="DE1" s="28"/>
      <c r="DF1" s="28"/>
      <c r="DG1" s="28"/>
      <c r="DH1" s="28"/>
      <c r="DI1" s="28"/>
      <c r="DJ1" s="28"/>
      <c r="DK1" s="28"/>
      <c r="DL1" s="28"/>
      <c r="DM1" s="28"/>
      <c r="DN1" s="28"/>
      <c r="DO1" s="28"/>
      <c r="DP1" s="28"/>
      <c r="DQ1" s="28"/>
      <c r="DR1" s="28"/>
      <c r="DS1" s="28"/>
      <c r="DT1" s="28"/>
      <c r="DU1" s="28"/>
      <c r="DV1" s="28"/>
      <c r="DW1" s="28"/>
      <c r="DX1" s="28"/>
      <c r="DY1" s="28"/>
      <c r="DZ1" s="28"/>
      <c r="EA1" s="28"/>
      <c r="EB1" s="28"/>
      <c r="EC1" s="28"/>
      <c r="ED1" s="28"/>
      <c r="EE1" s="28"/>
      <c r="EF1" s="28"/>
      <c r="EG1" s="28"/>
      <c r="EH1" s="28"/>
      <c r="EI1" s="28"/>
      <c r="EJ1" s="28"/>
      <c r="EK1" s="28"/>
      <c r="EL1" s="28"/>
      <c r="EM1" s="28"/>
      <c r="EN1" s="28"/>
      <c r="EO1" s="28"/>
      <c r="EP1" s="28"/>
      <c r="EQ1" s="28"/>
      <c r="ER1" s="28"/>
      <c r="ES1" s="28"/>
      <c r="ET1" s="28"/>
      <c r="EU1" s="28"/>
    </row>
    <row r="2">
      <c r="A2" s="24" t="s">
        <v>77</v>
      </c>
      <c r="B2" s="25" t="s">
        <v>110</v>
      </c>
      <c r="C2" s="30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  <c r="EG2" s="28"/>
      <c r="EH2" s="28"/>
      <c r="EI2" s="28"/>
      <c r="EJ2" s="28"/>
      <c r="EK2" s="28"/>
      <c r="EL2" s="28"/>
      <c r="EM2" s="28"/>
      <c r="EN2" s="28"/>
      <c r="EO2" s="28"/>
      <c r="EP2" s="28"/>
      <c r="EQ2" s="28"/>
      <c r="ER2" s="28"/>
      <c r="ES2" s="28"/>
      <c r="ET2" s="28"/>
      <c r="EU2" s="28"/>
    </row>
    <row r="3">
      <c r="A3" s="24" t="s">
        <v>79</v>
      </c>
      <c r="B3" s="25" t="s">
        <v>272</v>
      </c>
      <c r="C3" s="30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</row>
    <row r="4">
      <c r="A4" s="28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28"/>
      <c r="DF4" s="28"/>
      <c r="DG4" s="28"/>
      <c r="DH4" s="28"/>
      <c r="DI4" s="28"/>
      <c r="DJ4" s="28"/>
      <c r="DK4" s="28"/>
      <c r="DL4" s="28"/>
      <c r="DM4" s="28"/>
      <c r="DN4" s="28"/>
      <c r="DO4" s="28"/>
      <c r="DP4" s="28"/>
      <c r="DQ4" s="28"/>
      <c r="DR4" s="28"/>
      <c r="DS4" s="28"/>
      <c r="DT4" s="28"/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  <c r="EM4" s="28"/>
      <c r="EN4" s="28"/>
      <c r="EO4" s="28"/>
      <c r="EP4" s="28"/>
      <c r="EQ4" s="28"/>
      <c r="ER4" s="28"/>
      <c r="ES4" s="28"/>
      <c r="ET4" s="28"/>
      <c r="EU4" s="28"/>
    </row>
    <row r="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8"/>
      <c r="DN5" s="28"/>
      <c r="DO5" s="28"/>
      <c r="DP5" s="28"/>
      <c r="DQ5" s="28"/>
      <c r="DR5" s="28"/>
      <c r="DS5" s="28"/>
      <c r="DT5" s="28"/>
      <c r="DU5" s="28"/>
      <c r="DV5" s="28"/>
      <c r="DW5" s="28"/>
      <c r="DX5" s="28"/>
      <c r="DY5" s="28"/>
      <c r="DZ5" s="28"/>
      <c r="EA5" s="28"/>
      <c r="EB5" s="28"/>
      <c r="EC5" s="28"/>
      <c r="ED5" s="28"/>
      <c r="EE5" s="28"/>
      <c r="EF5" s="28"/>
      <c r="EG5" s="28"/>
      <c r="EH5" s="28"/>
      <c r="EI5" s="28"/>
      <c r="EJ5" s="28"/>
      <c r="EK5" s="28"/>
      <c r="EL5" s="28"/>
      <c r="EM5" s="28"/>
      <c r="EN5" s="28"/>
      <c r="EO5" s="28"/>
      <c r="EP5" s="28"/>
      <c r="EQ5" s="28"/>
      <c r="ER5" s="28"/>
      <c r="ES5" s="28"/>
      <c r="ET5" s="28"/>
      <c r="EU5" s="28"/>
    </row>
    <row r="6">
      <c r="A6" s="22" t="s">
        <v>155</v>
      </c>
      <c r="B6" s="22" t="s">
        <v>156</v>
      </c>
      <c r="C6" s="22" t="s">
        <v>157</v>
      </c>
      <c r="D6" s="22" t="s">
        <v>158</v>
      </c>
      <c r="E6" s="22" t="s">
        <v>159</v>
      </c>
      <c r="F6" s="22" t="s">
        <v>160</v>
      </c>
      <c r="G6" s="22" t="s">
        <v>161</v>
      </c>
      <c r="H6" s="22" t="s">
        <v>14</v>
      </c>
      <c r="I6" s="22" t="s">
        <v>162</v>
      </c>
      <c r="J6" s="22" t="s">
        <v>127</v>
      </c>
      <c r="K6" s="22" t="s">
        <v>15</v>
      </c>
      <c r="L6" s="22" t="s">
        <v>16</v>
      </c>
      <c r="M6" s="22" t="s">
        <v>163</v>
      </c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  <c r="CD6" s="28"/>
      <c r="CE6" s="28"/>
      <c r="CF6" s="28"/>
      <c r="CG6" s="28"/>
      <c r="CH6" s="28"/>
      <c r="CI6" s="28"/>
      <c r="CJ6" s="28"/>
      <c r="CK6" s="28"/>
      <c r="CL6" s="28"/>
      <c r="CM6" s="28"/>
      <c r="CN6" s="28"/>
      <c r="CO6" s="28"/>
      <c r="CP6" s="28"/>
      <c r="CQ6" s="28"/>
      <c r="CR6" s="28"/>
      <c r="CS6" s="28"/>
      <c r="CT6" s="28"/>
      <c r="CU6" s="28"/>
      <c r="CV6" s="28"/>
      <c r="CW6" s="28"/>
      <c r="CX6" s="28"/>
      <c r="CY6" s="28"/>
      <c r="CZ6" s="28"/>
      <c r="DA6" s="28"/>
      <c r="DB6" s="28"/>
      <c r="DC6" s="28"/>
      <c r="DD6" s="28"/>
      <c r="DE6" s="28"/>
      <c r="DF6" s="28"/>
      <c r="DG6" s="28"/>
      <c r="DH6" s="28"/>
      <c r="DI6" s="28"/>
      <c r="DJ6" s="28"/>
      <c r="DK6" s="28"/>
      <c r="DL6" s="28"/>
      <c r="DM6" s="28"/>
      <c r="DN6" s="28"/>
      <c r="DO6" s="28"/>
      <c r="DP6" s="28"/>
      <c r="DQ6" s="28"/>
      <c r="DR6" s="28"/>
      <c r="DS6" s="28"/>
      <c r="DT6" s="28"/>
      <c r="DU6" s="28"/>
      <c r="DV6" s="28"/>
      <c r="DW6" s="28"/>
      <c r="DX6" s="28"/>
      <c r="DY6" s="28"/>
      <c r="DZ6" s="28"/>
      <c r="EA6" s="28"/>
      <c r="EB6" s="28"/>
      <c r="EC6" s="28"/>
      <c r="ED6" s="28"/>
      <c r="EE6" s="28"/>
      <c r="EF6" s="28"/>
      <c r="EG6" s="28"/>
      <c r="EH6" s="28"/>
      <c r="EI6" s="28"/>
      <c r="EJ6" s="28"/>
      <c r="EK6" s="28"/>
      <c r="EL6" s="28"/>
      <c r="EM6" s="28"/>
      <c r="EN6" s="28"/>
      <c r="EO6" s="28"/>
      <c r="EP6" s="28"/>
      <c r="EQ6" s="28"/>
      <c r="ER6" s="28"/>
      <c r="ES6" s="28"/>
      <c r="ET6" s="28"/>
      <c r="EU6" s="28"/>
    </row>
    <row r="7" ht="24.75" customHeight="1">
      <c r="A7" s="23" t="s">
        <v>164</v>
      </c>
      <c r="B7" s="23">
        <v>78.0</v>
      </c>
      <c r="C7" s="23">
        <v>98.0</v>
      </c>
      <c r="D7" s="23" t="s">
        <v>165</v>
      </c>
      <c r="E7" s="23">
        <v>20.0</v>
      </c>
      <c r="F7" s="23">
        <v>7.0</v>
      </c>
      <c r="G7" s="23">
        <v>126.0</v>
      </c>
      <c r="H7" s="23" t="s">
        <v>172</v>
      </c>
      <c r="I7" s="23" t="s">
        <v>173</v>
      </c>
      <c r="J7" s="23" t="s">
        <v>106</v>
      </c>
      <c r="K7" s="23" t="s">
        <v>107</v>
      </c>
      <c r="L7" s="23" t="s">
        <v>273</v>
      </c>
      <c r="M7" s="23" t="s">
        <v>274</v>
      </c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  <c r="BM7" s="28"/>
      <c r="BN7" s="28"/>
      <c r="BO7" s="28"/>
      <c r="BP7" s="28"/>
      <c r="BQ7" s="28"/>
      <c r="BR7" s="28"/>
      <c r="BS7" s="28"/>
      <c r="BT7" s="28"/>
      <c r="BU7" s="28"/>
      <c r="BV7" s="28"/>
      <c r="BW7" s="28"/>
      <c r="BX7" s="28"/>
      <c r="BY7" s="28"/>
      <c r="BZ7" s="28"/>
      <c r="CA7" s="28"/>
      <c r="CB7" s="28"/>
      <c r="CC7" s="28"/>
      <c r="CD7" s="28"/>
      <c r="CE7" s="28"/>
      <c r="CF7" s="28"/>
      <c r="CG7" s="28"/>
      <c r="CH7" s="28"/>
      <c r="CI7" s="28"/>
      <c r="CJ7" s="28"/>
      <c r="CK7" s="28"/>
      <c r="CL7" s="28"/>
      <c r="CM7" s="28"/>
      <c r="CN7" s="28"/>
      <c r="CO7" s="28"/>
      <c r="CP7" s="28"/>
      <c r="CQ7" s="28"/>
      <c r="CR7" s="28"/>
      <c r="CS7" s="28"/>
      <c r="CT7" s="28"/>
      <c r="CU7" s="28"/>
      <c r="CV7" s="28"/>
      <c r="CW7" s="28"/>
      <c r="CX7" s="28"/>
      <c r="CY7" s="28"/>
      <c r="CZ7" s="28"/>
      <c r="DA7" s="28"/>
      <c r="DB7" s="28"/>
      <c r="DC7" s="28"/>
      <c r="DD7" s="28"/>
      <c r="DE7" s="28"/>
      <c r="DF7" s="28"/>
      <c r="DG7" s="28"/>
      <c r="DH7" s="28"/>
      <c r="DI7" s="28"/>
      <c r="DJ7" s="28"/>
      <c r="DK7" s="28"/>
      <c r="DL7" s="28"/>
      <c r="DM7" s="28"/>
      <c r="DN7" s="28"/>
      <c r="DO7" s="28"/>
      <c r="DP7" s="28"/>
      <c r="DQ7" s="28"/>
      <c r="DR7" s="28"/>
      <c r="DS7" s="28"/>
      <c r="DT7" s="28"/>
      <c r="DU7" s="28"/>
      <c r="DV7" s="28"/>
      <c r="DW7" s="28"/>
      <c r="DX7" s="28"/>
      <c r="DY7" s="28"/>
      <c r="DZ7" s="28"/>
      <c r="EA7" s="28"/>
      <c r="EB7" s="28"/>
      <c r="EC7" s="28"/>
      <c r="ED7" s="28"/>
      <c r="EE7" s="28"/>
      <c r="EF7" s="28"/>
      <c r="EG7" s="28"/>
      <c r="EH7" s="28"/>
      <c r="EI7" s="28"/>
      <c r="EJ7" s="28"/>
      <c r="EK7" s="28"/>
      <c r="EL7" s="28"/>
      <c r="EM7" s="28"/>
      <c r="EN7" s="28"/>
      <c r="EO7" s="28"/>
      <c r="EP7" s="28"/>
      <c r="EQ7" s="28"/>
      <c r="ER7" s="28"/>
      <c r="ES7" s="28"/>
      <c r="ET7" s="28"/>
      <c r="EU7" s="28"/>
    </row>
    <row r="8" ht="22.5" customHeight="1">
      <c r="A8" s="23" t="s">
        <v>170</v>
      </c>
      <c r="B8" s="23">
        <v>40.0</v>
      </c>
      <c r="C8" s="23">
        <v>50.0</v>
      </c>
      <c r="D8" s="23" t="s">
        <v>171</v>
      </c>
      <c r="E8" s="23">
        <v>21.0</v>
      </c>
      <c r="F8" s="23">
        <v>6.0</v>
      </c>
      <c r="G8" s="23">
        <v>62.0</v>
      </c>
      <c r="H8" s="23" t="s">
        <v>180</v>
      </c>
      <c r="I8" s="23" t="s">
        <v>181</v>
      </c>
      <c r="J8" s="23" t="s">
        <v>275</v>
      </c>
      <c r="K8" s="23" t="s">
        <v>276</v>
      </c>
      <c r="L8" s="23" t="s">
        <v>277</v>
      </c>
      <c r="M8" s="23" t="s">
        <v>278</v>
      </c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8"/>
      <c r="BI8" s="28"/>
      <c r="BJ8" s="28"/>
      <c r="BK8" s="28"/>
      <c r="BL8" s="28"/>
      <c r="BM8" s="28"/>
      <c r="BN8" s="28"/>
      <c r="BO8" s="28"/>
      <c r="BP8" s="28"/>
      <c r="BQ8" s="28"/>
      <c r="BR8" s="28"/>
      <c r="BS8" s="28"/>
      <c r="BT8" s="28"/>
      <c r="BU8" s="28"/>
      <c r="BV8" s="28"/>
      <c r="BW8" s="28"/>
      <c r="BX8" s="28"/>
      <c r="BY8" s="28"/>
      <c r="BZ8" s="28"/>
      <c r="CA8" s="28"/>
      <c r="CB8" s="28"/>
      <c r="CC8" s="28"/>
      <c r="CD8" s="28"/>
      <c r="CE8" s="28"/>
      <c r="CF8" s="28"/>
      <c r="CG8" s="28"/>
      <c r="CH8" s="28"/>
      <c r="CI8" s="28"/>
      <c r="CJ8" s="28"/>
      <c r="CK8" s="28"/>
      <c r="CL8" s="28"/>
      <c r="CM8" s="28"/>
      <c r="CN8" s="28"/>
      <c r="CO8" s="28"/>
      <c r="CP8" s="28"/>
      <c r="CQ8" s="28"/>
      <c r="CR8" s="28"/>
      <c r="CS8" s="28"/>
      <c r="CT8" s="28"/>
      <c r="CU8" s="28"/>
      <c r="CV8" s="28"/>
      <c r="CW8" s="28"/>
      <c r="CX8" s="28"/>
      <c r="CY8" s="28"/>
      <c r="CZ8" s="28"/>
      <c r="DA8" s="28"/>
      <c r="DB8" s="28"/>
      <c r="DC8" s="28"/>
      <c r="DD8" s="28"/>
      <c r="DE8" s="28"/>
      <c r="DF8" s="28"/>
      <c r="DG8" s="28"/>
      <c r="DH8" s="28"/>
      <c r="DI8" s="28"/>
      <c r="DJ8" s="28"/>
      <c r="DK8" s="28"/>
      <c r="DL8" s="28"/>
      <c r="DM8" s="28"/>
      <c r="DN8" s="28"/>
      <c r="DO8" s="28"/>
      <c r="DP8" s="28"/>
      <c r="DQ8" s="28"/>
      <c r="DR8" s="28"/>
      <c r="DS8" s="28"/>
      <c r="DT8" s="28"/>
      <c r="DU8" s="28"/>
      <c r="DV8" s="28"/>
      <c r="DW8" s="28"/>
      <c r="DX8" s="28"/>
      <c r="DY8" s="28"/>
      <c r="DZ8" s="28"/>
      <c r="EA8" s="28"/>
      <c r="EB8" s="28"/>
      <c r="EC8" s="28"/>
      <c r="ED8" s="28"/>
      <c r="EE8" s="28"/>
      <c r="EF8" s="28"/>
      <c r="EG8" s="28"/>
      <c r="EH8" s="28"/>
      <c r="EI8" s="28"/>
      <c r="EJ8" s="28"/>
      <c r="EK8" s="28"/>
      <c r="EL8" s="28"/>
      <c r="EM8" s="28"/>
      <c r="EN8" s="28"/>
      <c r="EO8" s="28"/>
      <c r="EP8" s="28"/>
      <c r="EQ8" s="28"/>
      <c r="ER8" s="28"/>
      <c r="ES8" s="28"/>
      <c r="ET8" s="28"/>
      <c r="EU8" s="28"/>
    </row>
    <row r="9">
      <c r="A9" s="23" t="s">
        <v>178</v>
      </c>
      <c r="B9" s="23">
        <v>16.0</v>
      </c>
      <c r="C9" s="23">
        <v>20.0</v>
      </c>
      <c r="D9" s="23" t="s">
        <v>179</v>
      </c>
      <c r="E9" s="23">
        <v>22.0</v>
      </c>
      <c r="F9" s="23">
        <v>5.0</v>
      </c>
      <c r="G9" s="23">
        <v>30.0</v>
      </c>
      <c r="H9" s="23" t="s">
        <v>206</v>
      </c>
      <c r="I9" s="23" t="s">
        <v>207</v>
      </c>
      <c r="J9" s="23" t="s">
        <v>279</v>
      </c>
      <c r="K9" s="23" t="s">
        <v>280</v>
      </c>
      <c r="L9" s="23" t="s">
        <v>281</v>
      </c>
      <c r="M9" s="23" t="s">
        <v>282</v>
      </c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  <c r="BV9" s="28"/>
      <c r="BW9" s="28"/>
      <c r="BX9" s="28"/>
      <c r="BY9" s="28"/>
      <c r="BZ9" s="28"/>
      <c r="CA9" s="28"/>
      <c r="CB9" s="28"/>
      <c r="CC9" s="28"/>
      <c r="CD9" s="28"/>
      <c r="CE9" s="28"/>
      <c r="CF9" s="28"/>
      <c r="CG9" s="28"/>
      <c r="CH9" s="28"/>
      <c r="CI9" s="28"/>
      <c r="CJ9" s="28"/>
      <c r="CK9" s="28"/>
      <c r="CL9" s="28"/>
      <c r="CM9" s="28"/>
      <c r="CN9" s="28"/>
      <c r="CO9" s="28"/>
      <c r="CP9" s="28"/>
      <c r="CQ9" s="28"/>
      <c r="CR9" s="28"/>
      <c r="CS9" s="28"/>
      <c r="CT9" s="28"/>
      <c r="CU9" s="28"/>
      <c r="CV9" s="28"/>
      <c r="CW9" s="28"/>
      <c r="CX9" s="28"/>
      <c r="CY9" s="28"/>
      <c r="CZ9" s="28"/>
      <c r="DA9" s="28"/>
      <c r="DB9" s="28"/>
      <c r="DC9" s="28"/>
      <c r="DD9" s="28"/>
      <c r="DE9" s="28"/>
      <c r="DF9" s="28"/>
      <c r="DG9" s="28"/>
      <c r="DH9" s="28"/>
      <c r="DI9" s="28"/>
      <c r="DJ9" s="28"/>
      <c r="DK9" s="28"/>
      <c r="DL9" s="28"/>
      <c r="DM9" s="28"/>
      <c r="DN9" s="28"/>
      <c r="DO9" s="28"/>
      <c r="DP9" s="28"/>
      <c r="DQ9" s="28"/>
      <c r="DR9" s="28"/>
      <c r="DS9" s="28"/>
      <c r="DT9" s="28"/>
      <c r="DU9" s="28"/>
      <c r="DV9" s="28"/>
      <c r="DW9" s="28"/>
      <c r="DX9" s="28"/>
      <c r="DY9" s="28"/>
      <c r="DZ9" s="28"/>
      <c r="EA9" s="28"/>
      <c r="EB9" s="28"/>
      <c r="EC9" s="28"/>
      <c r="ED9" s="28"/>
      <c r="EE9" s="28"/>
      <c r="EF9" s="28"/>
      <c r="EG9" s="28"/>
      <c r="EH9" s="28"/>
      <c r="EI9" s="28"/>
      <c r="EJ9" s="28"/>
      <c r="EK9" s="28"/>
      <c r="EL9" s="28"/>
      <c r="EM9" s="28"/>
      <c r="EN9" s="28"/>
      <c r="EO9" s="28"/>
      <c r="EP9" s="28"/>
      <c r="EQ9" s="28"/>
      <c r="ER9" s="28"/>
      <c r="ES9" s="28"/>
      <c r="ET9" s="28"/>
      <c r="EU9" s="28"/>
    </row>
    <row r="10">
      <c r="A10" s="23" t="s">
        <v>186</v>
      </c>
      <c r="B10" s="23">
        <v>12.0</v>
      </c>
      <c r="C10" s="23">
        <v>15.0</v>
      </c>
      <c r="D10" s="23" t="s">
        <v>187</v>
      </c>
      <c r="E10" s="23">
        <v>23.0</v>
      </c>
      <c r="F10" s="23">
        <v>5.0</v>
      </c>
      <c r="G10" s="23">
        <v>30.0</v>
      </c>
      <c r="H10" s="23" t="s">
        <v>206</v>
      </c>
      <c r="I10" s="23" t="s">
        <v>207</v>
      </c>
      <c r="J10" s="23" t="s">
        <v>283</v>
      </c>
      <c r="K10" s="23" t="s">
        <v>284</v>
      </c>
      <c r="L10" s="23" t="s">
        <v>285</v>
      </c>
      <c r="M10" s="23" t="s">
        <v>286</v>
      </c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8"/>
      <c r="BI10" s="28"/>
      <c r="BJ10" s="28"/>
      <c r="BK10" s="28"/>
      <c r="BL10" s="28"/>
      <c r="BM10" s="28"/>
      <c r="BN10" s="28"/>
      <c r="BO10" s="28"/>
      <c r="BP10" s="28"/>
      <c r="BQ10" s="28"/>
      <c r="BR10" s="28"/>
      <c r="BS10" s="28"/>
      <c r="BT10" s="28"/>
      <c r="BU10" s="28"/>
      <c r="BV10" s="28"/>
      <c r="BW10" s="28"/>
      <c r="BX10" s="28"/>
      <c r="BY10" s="28"/>
      <c r="BZ10" s="28"/>
      <c r="CA10" s="28"/>
      <c r="CB10" s="28"/>
      <c r="CC10" s="28"/>
      <c r="CD10" s="28"/>
      <c r="CE10" s="28"/>
      <c r="CF10" s="28"/>
      <c r="CG10" s="28"/>
      <c r="CH10" s="28"/>
      <c r="CI10" s="28"/>
      <c r="CJ10" s="28"/>
      <c r="CK10" s="28"/>
      <c r="CL10" s="28"/>
      <c r="CM10" s="28"/>
      <c r="CN10" s="28"/>
      <c r="CO10" s="28"/>
      <c r="CP10" s="28"/>
      <c r="CQ10" s="28"/>
      <c r="CR10" s="28"/>
      <c r="CS10" s="28"/>
      <c r="CT10" s="28"/>
      <c r="CU10" s="28"/>
      <c r="CV10" s="28"/>
      <c r="CW10" s="28"/>
      <c r="CX10" s="28"/>
      <c r="CY10" s="28"/>
      <c r="CZ10" s="28"/>
      <c r="DA10" s="28"/>
      <c r="DB10" s="28"/>
      <c r="DC10" s="28"/>
      <c r="DD10" s="28"/>
      <c r="DE10" s="28"/>
      <c r="DF10" s="28"/>
      <c r="DG10" s="28"/>
      <c r="DH10" s="28"/>
      <c r="DI10" s="28"/>
      <c r="DJ10" s="28"/>
      <c r="DK10" s="28"/>
      <c r="DL10" s="28"/>
      <c r="DM10" s="28"/>
      <c r="DN10" s="28"/>
      <c r="DO10" s="28"/>
      <c r="DP10" s="28"/>
      <c r="DQ10" s="28"/>
      <c r="DR10" s="28"/>
      <c r="DS10" s="28"/>
      <c r="DT10" s="28"/>
      <c r="DU10" s="28"/>
      <c r="DV10" s="28"/>
      <c r="DW10" s="28"/>
      <c r="DX10" s="28"/>
      <c r="DY10" s="28"/>
      <c r="DZ10" s="28"/>
      <c r="EA10" s="28"/>
      <c r="EB10" s="28"/>
      <c r="EC10" s="28"/>
      <c r="ED10" s="28"/>
      <c r="EE10" s="28"/>
      <c r="EF10" s="28"/>
      <c r="EG10" s="28"/>
      <c r="EH10" s="28"/>
      <c r="EI10" s="28"/>
      <c r="EJ10" s="28"/>
      <c r="EK10" s="28"/>
      <c r="EL10" s="28"/>
      <c r="EM10" s="28"/>
      <c r="EN10" s="28"/>
      <c r="EO10" s="28"/>
      <c r="EP10" s="28"/>
      <c r="EQ10" s="28"/>
      <c r="ER10" s="28"/>
      <c r="ES10" s="28"/>
      <c r="ET10" s="28"/>
      <c r="EU10" s="28"/>
    </row>
    <row r="11">
      <c r="A11" s="23" t="s">
        <v>192</v>
      </c>
      <c r="B11" s="23">
        <v>11.0</v>
      </c>
      <c r="C11" s="23">
        <v>14.0</v>
      </c>
      <c r="D11" s="23" t="s">
        <v>193</v>
      </c>
      <c r="E11" s="23">
        <v>24.0</v>
      </c>
      <c r="F11" s="23">
        <v>4.0</v>
      </c>
      <c r="G11" s="23">
        <v>14.0</v>
      </c>
      <c r="H11" s="23" t="s">
        <v>220</v>
      </c>
      <c r="I11" s="23" t="s">
        <v>221</v>
      </c>
      <c r="J11" s="23" t="s">
        <v>287</v>
      </c>
      <c r="K11" s="23" t="s">
        <v>288</v>
      </c>
      <c r="L11" s="23" t="s">
        <v>289</v>
      </c>
      <c r="M11" s="23" t="s">
        <v>290</v>
      </c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  <c r="BN11" s="28"/>
      <c r="BO11" s="28"/>
      <c r="BP11" s="28"/>
      <c r="BQ11" s="28"/>
      <c r="BR11" s="28"/>
      <c r="BS11" s="28"/>
      <c r="BT11" s="28"/>
      <c r="BU11" s="28"/>
      <c r="BV11" s="28"/>
      <c r="BW11" s="28"/>
      <c r="BX11" s="28"/>
      <c r="BY11" s="28"/>
      <c r="BZ11" s="28"/>
      <c r="CA11" s="28"/>
      <c r="CB11" s="28"/>
      <c r="CC11" s="28"/>
      <c r="CD11" s="28"/>
      <c r="CE11" s="28"/>
      <c r="CF11" s="28"/>
      <c r="CG11" s="28"/>
      <c r="CH11" s="28"/>
      <c r="CI11" s="28"/>
      <c r="CJ11" s="28"/>
      <c r="CK11" s="28"/>
      <c r="CL11" s="28"/>
      <c r="CM11" s="28"/>
      <c r="CN11" s="28"/>
      <c r="CO11" s="28"/>
      <c r="CP11" s="28"/>
      <c r="CQ11" s="28"/>
      <c r="CR11" s="28"/>
      <c r="CS11" s="28"/>
      <c r="CT11" s="28"/>
      <c r="CU11" s="28"/>
      <c r="CV11" s="28"/>
      <c r="CW11" s="28"/>
      <c r="CX11" s="28"/>
      <c r="CY11" s="28"/>
      <c r="CZ11" s="28"/>
      <c r="DA11" s="28"/>
      <c r="DB11" s="28"/>
      <c r="DC11" s="28"/>
      <c r="DD11" s="28"/>
      <c r="DE11" s="28"/>
      <c r="DF11" s="28"/>
      <c r="DG11" s="28"/>
      <c r="DH11" s="28"/>
      <c r="DI11" s="28"/>
      <c r="DJ11" s="28"/>
      <c r="DK11" s="28"/>
      <c r="DL11" s="28"/>
      <c r="DM11" s="28"/>
      <c r="DN11" s="28"/>
      <c r="DO11" s="28"/>
      <c r="DP11" s="28"/>
      <c r="DQ11" s="28"/>
      <c r="DR11" s="28"/>
      <c r="DS11" s="28"/>
      <c r="DT11" s="28"/>
      <c r="DU11" s="28"/>
      <c r="DV11" s="28"/>
      <c r="DW11" s="28"/>
      <c r="DX11" s="28"/>
      <c r="DY11" s="28"/>
      <c r="DZ11" s="28"/>
      <c r="EA11" s="28"/>
      <c r="EB11" s="28"/>
      <c r="EC11" s="28"/>
      <c r="ED11" s="28"/>
      <c r="EE11" s="28"/>
      <c r="EF11" s="28"/>
      <c r="EG11" s="28"/>
      <c r="EH11" s="28"/>
      <c r="EI11" s="28"/>
      <c r="EJ11" s="28"/>
      <c r="EK11" s="28"/>
      <c r="EL11" s="28"/>
      <c r="EM11" s="28"/>
      <c r="EN11" s="28"/>
      <c r="EO11" s="28"/>
      <c r="EP11" s="28"/>
      <c r="EQ11" s="28"/>
      <c r="ER11" s="28"/>
      <c r="ES11" s="28"/>
      <c r="ET11" s="28"/>
      <c r="EU11" s="28"/>
    </row>
    <row r="12">
      <c r="A12" s="23" t="s">
        <v>198</v>
      </c>
      <c r="B12" s="23">
        <v>10.0</v>
      </c>
      <c r="C12" s="23">
        <v>13.0</v>
      </c>
      <c r="D12" s="23" t="s">
        <v>199</v>
      </c>
      <c r="E12" s="23">
        <v>25.0</v>
      </c>
      <c r="F12" s="23">
        <v>4.0</v>
      </c>
      <c r="G12" s="23">
        <v>14.0</v>
      </c>
      <c r="H12" s="23" t="s">
        <v>220</v>
      </c>
      <c r="I12" s="23" t="s">
        <v>221</v>
      </c>
      <c r="J12" s="23" t="s">
        <v>291</v>
      </c>
      <c r="K12" s="23" t="s">
        <v>292</v>
      </c>
      <c r="L12" s="23" t="s">
        <v>293</v>
      </c>
      <c r="M12" s="23" t="s">
        <v>294</v>
      </c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  <c r="BN12" s="28"/>
      <c r="BO12" s="28"/>
      <c r="BP12" s="28"/>
      <c r="BQ12" s="28"/>
      <c r="BR12" s="28"/>
      <c r="BS12" s="28"/>
      <c r="BT12" s="28"/>
      <c r="BU12" s="28"/>
      <c r="BV12" s="28"/>
      <c r="BW12" s="28"/>
      <c r="BX12" s="28"/>
      <c r="BY12" s="28"/>
      <c r="BZ12" s="28"/>
      <c r="CA12" s="28"/>
      <c r="CB12" s="28"/>
      <c r="CC12" s="28"/>
      <c r="CD12" s="28"/>
      <c r="CE12" s="28"/>
      <c r="CF12" s="28"/>
      <c r="CG12" s="28"/>
      <c r="CH12" s="28"/>
      <c r="CI12" s="28"/>
      <c r="CJ12" s="28"/>
      <c r="CK12" s="28"/>
      <c r="CL12" s="28"/>
      <c r="CM12" s="28"/>
      <c r="CN12" s="28"/>
      <c r="CO12" s="28"/>
      <c r="CP12" s="28"/>
      <c r="CQ12" s="28"/>
      <c r="CR12" s="28"/>
      <c r="CS12" s="28"/>
      <c r="CT12" s="28"/>
      <c r="CU12" s="28"/>
      <c r="CV12" s="28"/>
      <c r="CW12" s="28"/>
      <c r="CX12" s="28"/>
      <c r="CY12" s="28"/>
      <c r="CZ12" s="28"/>
      <c r="DA12" s="28"/>
      <c r="DB12" s="28"/>
      <c r="DC12" s="28"/>
      <c r="DD12" s="28"/>
      <c r="DE12" s="28"/>
      <c r="DF12" s="28"/>
      <c r="DG12" s="28"/>
      <c r="DH12" s="28"/>
      <c r="DI12" s="28"/>
      <c r="DJ12" s="28"/>
      <c r="DK12" s="28"/>
      <c r="DL12" s="28"/>
      <c r="DM12" s="28"/>
      <c r="DN12" s="28"/>
      <c r="DO12" s="28"/>
      <c r="DP12" s="28"/>
      <c r="DQ12" s="28"/>
      <c r="DR12" s="28"/>
      <c r="DS12" s="28"/>
      <c r="DT12" s="28"/>
      <c r="DU12" s="28"/>
      <c r="DV12" s="28"/>
      <c r="DW12" s="28"/>
      <c r="DX12" s="28"/>
      <c r="DY12" s="28"/>
      <c r="DZ12" s="28"/>
      <c r="EA12" s="28"/>
      <c r="EB12" s="28"/>
      <c r="EC12" s="28"/>
      <c r="ED12" s="28"/>
      <c r="EE12" s="28"/>
      <c r="EF12" s="28"/>
      <c r="EG12" s="28"/>
      <c r="EH12" s="28"/>
      <c r="EI12" s="28"/>
      <c r="EJ12" s="28"/>
      <c r="EK12" s="28"/>
      <c r="EL12" s="28"/>
      <c r="EM12" s="28"/>
      <c r="EN12" s="28"/>
      <c r="EO12" s="28"/>
      <c r="EP12" s="28"/>
      <c r="EQ12" s="28"/>
      <c r="ER12" s="28"/>
      <c r="ES12" s="28"/>
      <c r="ET12" s="28"/>
      <c r="EU12" s="28"/>
    </row>
    <row r="13">
      <c r="A13" s="23" t="s">
        <v>258</v>
      </c>
      <c r="B13" s="23">
        <v>10.0</v>
      </c>
      <c r="C13" s="23">
        <v>13.0</v>
      </c>
      <c r="D13" s="23" t="s">
        <v>213</v>
      </c>
      <c r="E13" s="23">
        <v>99.0</v>
      </c>
      <c r="F13" s="23">
        <v>4.0</v>
      </c>
      <c r="G13" s="23">
        <v>14.0</v>
      </c>
      <c r="H13" s="23" t="s">
        <v>220</v>
      </c>
      <c r="I13" s="23" t="s">
        <v>221</v>
      </c>
      <c r="J13" s="23" t="s">
        <v>295</v>
      </c>
      <c r="K13" s="23" t="s">
        <v>296</v>
      </c>
      <c r="L13" s="23" t="s">
        <v>297</v>
      </c>
      <c r="M13" s="23" t="s">
        <v>298</v>
      </c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28"/>
      <c r="BR13" s="28"/>
      <c r="BS13" s="28"/>
      <c r="BT13" s="28"/>
      <c r="BU13" s="28"/>
      <c r="BV13" s="28"/>
      <c r="BW13" s="28"/>
      <c r="BX13" s="28"/>
      <c r="BY13" s="28"/>
      <c r="BZ13" s="28"/>
      <c r="CA13" s="28"/>
      <c r="CB13" s="28"/>
      <c r="CC13" s="28"/>
      <c r="CD13" s="28"/>
      <c r="CE13" s="28"/>
      <c r="CF13" s="28"/>
      <c r="CG13" s="28"/>
      <c r="CH13" s="28"/>
      <c r="CI13" s="28"/>
      <c r="CJ13" s="28"/>
      <c r="CK13" s="28"/>
      <c r="CL13" s="28"/>
      <c r="CM13" s="28"/>
      <c r="CN13" s="28"/>
      <c r="CO13" s="28"/>
      <c r="CP13" s="28"/>
      <c r="CQ13" s="28"/>
      <c r="CR13" s="28"/>
      <c r="CS13" s="28"/>
      <c r="CT13" s="28"/>
      <c r="CU13" s="28"/>
      <c r="CV13" s="28"/>
      <c r="CW13" s="28"/>
      <c r="CX13" s="28"/>
      <c r="CY13" s="28"/>
      <c r="CZ13" s="28"/>
      <c r="DA13" s="28"/>
      <c r="DB13" s="28"/>
      <c r="DC13" s="28"/>
      <c r="DD13" s="28"/>
      <c r="DE13" s="28"/>
      <c r="DF13" s="28"/>
      <c r="DG13" s="28"/>
      <c r="DH13" s="28"/>
      <c r="DI13" s="28"/>
      <c r="DJ13" s="28"/>
      <c r="DK13" s="28"/>
      <c r="DL13" s="28"/>
      <c r="DM13" s="28"/>
      <c r="DN13" s="28"/>
      <c r="DO13" s="28"/>
      <c r="DP13" s="28"/>
      <c r="DQ13" s="28"/>
      <c r="DR13" s="28"/>
      <c r="DS13" s="28"/>
      <c r="DT13" s="28"/>
      <c r="DU13" s="28"/>
      <c r="DV13" s="28"/>
      <c r="DW13" s="28"/>
      <c r="DX13" s="28"/>
      <c r="DY13" s="28"/>
      <c r="DZ13" s="28"/>
      <c r="EA13" s="28"/>
      <c r="EB13" s="28"/>
      <c r="EC13" s="28"/>
      <c r="ED13" s="28"/>
      <c r="EE13" s="28"/>
      <c r="EF13" s="28"/>
      <c r="EG13" s="28"/>
      <c r="EH13" s="28"/>
      <c r="EI13" s="28"/>
      <c r="EJ13" s="28"/>
      <c r="EK13" s="28"/>
      <c r="EL13" s="28"/>
      <c r="EM13" s="28"/>
      <c r="EN13" s="28"/>
      <c r="EO13" s="28"/>
      <c r="EP13" s="28"/>
      <c r="EQ13" s="28"/>
      <c r="ER13" s="28"/>
      <c r="ES13" s="28"/>
      <c r="ET13" s="28"/>
      <c r="EU13" s="28"/>
    </row>
    <row r="14">
      <c r="A14" s="23" t="s">
        <v>204</v>
      </c>
      <c r="B14" s="23">
        <v>8.0</v>
      </c>
      <c r="C14" s="23">
        <v>10.0</v>
      </c>
      <c r="D14" s="23" t="s">
        <v>205</v>
      </c>
      <c r="E14" s="23">
        <v>26.0</v>
      </c>
      <c r="F14" s="23">
        <v>4.0</v>
      </c>
      <c r="G14" s="23">
        <v>14.0</v>
      </c>
      <c r="H14" s="23" t="s">
        <v>220</v>
      </c>
      <c r="I14" s="23" t="s">
        <v>221</v>
      </c>
      <c r="J14" s="23" t="s">
        <v>299</v>
      </c>
      <c r="K14" s="23" t="s">
        <v>300</v>
      </c>
      <c r="L14" s="23" t="s">
        <v>301</v>
      </c>
      <c r="M14" s="23" t="s">
        <v>302</v>
      </c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  <c r="BV14" s="28"/>
      <c r="BW14" s="28"/>
      <c r="BX14" s="28"/>
      <c r="BY14" s="28"/>
      <c r="BZ14" s="28"/>
      <c r="CA14" s="28"/>
      <c r="CB14" s="28"/>
      <c r="CC14" s="28"/>
      <c r="CD14" s="28"/>
      <c r="CE14" s="28"/>
      <c r="CF14" s="28"/>
      <c r="CG14" s="28"/>
      <c r="CH14" s="28"/>
      <c r="CI14" s="28"/>
      <c r="CJ14" s="28"/>
      <c r="CK14" s="28"/>
      <c r="CL14" s="28"/>
      <c r="CM14" s="28"/>
      <c r="CN14" s="28"/>
      <c r="CO14" s="28"/>
      <c r="CP14" s="28"/>
      <c r="CQ14" s="28"/>
      <c r="CR14" s="28"/>
      <c r="CS14" s="28"/>
      <c r="CT14" s="28"/>
      <c r="CU14" s="28"/>
      <c r="CV14" s="28"/>
      <c r="CW14" s="28"/>
      <c r="CX14" s="28"/>
      <c r="CY14" s="28"/>
      <c r="CZ14" s="28"/>
      <c r="DA14" s="28"/>
      <c r="DB14" s="28"/>
      <c r="DC14" s="28"/>
      <c r="DD14" s="28"/>
      <c r="DE14" s="28"/>
      <c r="DF14" s="28"/>
      <c r="DG14" s="28"/>
      <c r="DH14" s="28"/>
      <c r="DI14" s="28"/>
      <c r="DJ14" s="28"/>
      <c r="DK14" s="28"/>
      <c r="DL14" s="28"/>
      <c r="DM14" s="28"/>
      <c r="DN14" s="28"/>
      <c r="DO14" s="28"/>
      <c r="DP14" s="28"/>
      <c r="DQ14" s="28"/>
      <c r="DR14" s="28"/>
      <c r="DS14" s="28"/>
      <c r="DT14" s="28"/>
      <c r="DU14" s="28"/>
      <c r="DV14" s="28"/>
      <c r="DW14" s="28"/>
      <c r="DX14" s="28"/>
      <c r="DY14" s="28"/>
      <c r="DZ14" s="28"/>
      <c r="EA14" s="28"/>
      <c r="EB14" s="28"/>
      <c r="EC14" s="28"/>
      <c r="ED14" s="28"/>
      <c r="EE14" s="28"/>
      <c r="EF14" s="28"/>
      <c r="EG14" s="28"/>
      <c r="EH14" s="28"/>
      <c r="EI14" s="28"/>
      <c r="EJ14" s="28"/>
      <c r="EK14" s="28"/>
      <c r="EL14" s="28"/>
      <c r="EM14" s="28"/>
      <c r="EN14" s="28"/>
      <c r="EO14" s="28"/>
      <c r="EP14" s="28"/>
      <c r="EQ14" s="28"/>
      <c r="ER14" s="28"/>
      <c r="ES14" s="28"/>
      <c r="ET14" s="28"/>
      <c r="EU14" s="28"/>
    </row>
    <row r="15">
      <c r="A15" s="23" t="s">
        <v>218</v>
      </c>
      <c r="B15" s="23">
        <v>5.0</v>
      </c>
      <c r="C15" s="23">
        <v>7.0</v>
      </c>
      <c r="D15" s="23" t="s">
        <v>219</v>
      </c>
      <c r="E15" s="23">
        <v>27.0</v>
      </c>
      <c r="F15" s="23">
        <v>4.0</v>
      </c>
      <c r="G15" s="23">
        <v>14.0</v>
      </c>
      <c r="H15" s="23" t="s">
        <v>220</v>
      </c>
      <c r="I15" s="23" t="s">
        <v>221</v>
      </c>
      <c r="J15" s="23" t="s">
        <v>303</v>
      </c>
      <c r="K15" s="23" t="s">
        <v>304</v>
      </c>
      <c r="L15" s="23" t="s">
        <v>305</v>
      </c>
      <c r="M15" s="23" t="s">
        <v>306</v>
      </c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  <c r="BN15" s="28"/>
      <c r="BO15" s="28"/>
      <c r="BP15" s="28"/>
      <c r="BQ15" s="28"/>
      <c r="BR15" s="28"/>
      <c r="BS15" s="28"/>
      <c r="BT15" s="28"/>
      <c r="BU15" s="28"/>
      <c r="BV15" s="28"/>
      <c r="BW15" s="28"/>
      <c r="BX15" s="28"/>
      <c r="BY15" s="28"/>
      <c r="BZ15" s="28"/>
      <c r="CA15" s="28"/>
      <c r="CB15" s="28"/>
      <c r="CC15" s="28"/>
      <c r="CD15" s="28"/>
      <c r="CE15" s="28"/>
      <c r="CF15" s="28"/>
      <c r="CG15" s="28"/>
      <c r="CH15" s="28"/>
      <c r="CI15" s="28"/>
      <c r="CJ15" s="28"/>
      <c r="CK15" s="28"/>
      <c r="CL15" s="28"/>
      <c r="CM15" s="28"/>
      <c r="CN15" s="28"/>
      <c r="CO15" s="28"/>
      <c r="CP15" s="28"/>
      <c r="CQ15" s="28"/>
      <c r="CR15" s="28"/>
      <c r="CS15" s="28"/>
      <c r="CT15" s="28"/>
      <c r="CU15" s="28"/>
      <c r="CV15" s="28"/>
      <c r="CW15" s="28"/>
      <c r="CX15" s="28"/>
      <c r="CY15" s="28"/>
      <c r="CZ15" s="28"/>
      <c r="DA15" s="28"/>
      <c r="DB15" s="28"/>
      <c r="DC15" s="28"/>
      <c r="DD15" s="28"/>
      <c r="DE15" s="28"/>
      <c r="DF15" s="28"/>
      <c r="DG15" s="28"/>
      <c r="DH15" s="28"/>
      <c r="DI15" s="28"/>
      <c r="DJ15" s="28"/>
      <c r="DK15" s="28"/>
      <c r="DL15" s="28"/>
      <c r="DM15" s="28"/>
      <c r="DN15" s="28"/>
      <c r="DO15" s="28"/>
      <c r="DP15" s="28"/>
      <c r="DQ15" s="28"/>
      <c r="DR15" s="28"/>
      <c r="DS15" s="28"/>
      <c r="DT15" s="28"/>
      <c r="DU15" s="28"/>
      <c r="DV15" s="28"/>
      <c r="DW15" s="28"/>
      <c r="DX15" s="28"/>
      <c r="DY15" s="28"/>
      <c r="DZ15" s="28"/>
      <c r="EA15" s="28"/>
      <c r="EB15" s="28"/>
      <c r="EC15" s="28"/>
      <c r="ED15" s="28"/>
      <c r="EE15" s="28"/>
      <c r="EF15" s="28"/>
      <c r="EG15" s="28"/>
      <c r="EH15" s="28"/>
      <c r="EI15" s="28"/>
      <c r="EJ15" s="28"/>
      <c r="EK15" s="28"/>
      <c r="EL15" s="28"/>
      <c r="EM15" s="28"/>
      <c r="EN15" s="28"/>
      <c r="EO15" s="28"/>
      <c r="EP15" s="28"/>
      <c r="EQ15" s="28"/>
      <c r="ER15" s="28"/>
      <c r="ES15" s="28"/>
      <c r="ET15" s="28"/>
      <c r="EU15" s="28"/>
    </row>
    <row r="16">
      <c r="A16" s="24" t="s">
        <v>269</v>
      </c>
      <c r="B16" s="29">
        <v>190.0</v>
      </c>
      <c r="C16" s="29">
        <v>240.0</v>
      </c>
      <c r="D16" s="30"/>
      <c r="E16" s="30"/>
      <c r="F16" s="30"/>
      <c r="G16" s="29">
        <v>318.0</v>
      </c>
      <c r="H16" s="30"/>
      <c r="I16" s="30"/>
      <c r="J16" s="30"/>
      <c r="K16" s="30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8"/>
      <c r="BS16" s="28"/>
      <c r="BT16" s="28"/>
      <c r="BU16" s="28"/>
      <c r="BV16" s="28"/>
      <c r="BW16" s="28"/>
      <c r="BX16" s="28"/>
      <c r="BY16" s="28"/>
      <c r="BZ16" s="28"/>
      <c r="CA16" s="28"/>
      <c r="CB16" s="28"/>
      <c r="CC16" s="28"/>
      <c r="CD16" s="28"/>
      <c r="CE16" s="28"/>
      <c r="CF16" s="28"/>
      <c r="CG16" s="28"/>
      <c r="CH16" s="28"/>
      <c r="CI16" s="28"/>
      <c r="CJ16" s="28"/>
      <c r="CK16" s="28"/>
      <c r="CL16" s="28"/>
      <c r="CM16" s="28"/>
      <c r="CN16" s="28"/>
      <c r="CO16" s="28"/>
      <c r="CP16" s="28"/>
      <c r="CQ16" s="28"/>
      <c r="CR16" s="28"/>
      <c r="CS16" s="28"/>
      <c r="CT16" s="28"/>
      <c r="CU16" s="28"/>
      <c r="CV16" s="28"/>
      <c r="CW16" s="28"/>
      <c r="CX16" s="28"/>
      <c r="CY16" s="28"/>
      <c r="CZ16" s="28"/>
      <c r="DA16" s="28"/>
      <c r="DB16" s="28"/>
      <c r="DC16" s="28"/>
      <c r="DD16" s="28"/>
      <c r="DE16" s="28"/>
      <c r="DF16" s="28"/>
      <c r="DG16" s="28"/>
      <c r="DH16" s="28"/>
      <c r="DI16" s="28"/>
      <c r="DJ16" s="28"/>
      <c r="DK16" s="28"/>
      <c r="DL16" s="28"/>
      <c r="DM16" s="28"/>
      <c r="DN16" s="28"/>
      <c r="DO16" s="28"/>
      <c r="DP16" s="28"/>
      <c r="DQ16" s="28"/>
      <c r="DR16" s="28"/>
      <c r="DS16" s="28"/>
      <c r="DT16" s="28"/>
      <c r="DU16" s="28"/>
      <c r="DV16" s="28"/>
      <c r="DW16" s="28"/>
      <c r="DX16" s="28"/>
      <c r="DY16" s="28"/>
      <c r="DZ16" s="28"/>
      <c r="EA16" s="28"/>
      <c r="EB16" s="28"/>
      <c r="EC16" s="28"/>
      <c r="ED16" s="28"/>
      <c r="EE16" s="28"/>
      <c r="EF16" s="28"/>
      <c r="EG16" s="28"/>
      <c r="EH16" s="28"/>
      <c r="EI16" s="28"/>
      <c r="EJ16" s="28"/>
      <c r="EK16" s="28"/>
      <c r="EL16" s="28"/>
      <c r="EM16" s="28"/>
      <c r="EN16" s="28"/>
      <c r="EO16" s="28"/>
      <c r="EP16" s="28"/>
      <c r="EQ16" s="28"/>
      <c r="ER16" s="28"/>
      <c r="ES16" s="28"/>
      <c r="ET16" s="28"/>
      <c r="EU16" s="28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  <c r="BN17" s="28"/>
      <c r="BO17" s="28"/>
      <c r="BP17" s="28"/>
      <c r="BQ17" s="28"/>
      <c r="BR17" s="28"/>
      <c r="BS17" s="28"/>
      <c r="BT17" s="28"/>
      <c r="BU17" s="28"/>
      <c r="BV17" s="28"/>
      <c r="BW17" s="28"/>
      <c r="BX17" s="28"/>
      <c r="BY17" s="28"/>
      <c r="BZ17" s="28"/>
      <c r="CA17" s="28"/>
      <c r="CB17" s="28"/>
      <c r="CC17" s="28"/>
      <c r="CD17" s="28"/>
      <c r="CE17" s="28"/>
      <c r="CF17" s="28"/>
      <c r="CG17" s="28"/>
      <c r="CH17" s="28"/>
      <c r="CI17" s="28"/>
      <c r="CJ17" s="28"/>
      <c r="CK17" s="28"/>
      <c r="CL17" s="28"/>
      <c r="CM17" s="28"/>
      <c r="CN17" s="28"/>
      <c r="CO17" s="28"/>
      <c r="CP17" s="28"/>
      <c r="CQ17" s="28"/>
      <c r="CR17" s="28"/>
      <c r="CS17" s="28"/>
      <c r="CT17" s="28"/>
      <c r="CU17" s="28"/>
      <c r="CV17" s="28"/>
      <c r="CW17" s="28"/>
      <c r="CX17" s="28"/>
      <c r="CY17" s="28"/>
      <c r="CZ17" s="28"/>
      <c r="DA17" s="28"/>
      <c r="DB17" s="28"/>
      <c r="DC17" s="28"/>
      <c r="DD17" s="28"/>
      <c r="DE17" s="28"/>
      <c r="DF17" s="28"/>
      <c r="DG17" s="28"/>
      <c r="DH17" s="28"/>
      <c r="DI17" s="28"/>
      <c r="DJ17" s="28"/>
      <c r="DK17" s="28"/>
      <c r="DL17" s="28"/>
      <c r="DM17" s="28"/>
      <c r="DN17" s="28"/>
      <c r="DO17" s="28"/>
      <c r="DP17" s="28"/>
      <c r="DQ17" s="28"/>
      <c r="DR17" s="28"/>
      <c r="DS17" s="28"/>
      <c r="DT17" s="28"/>
      <c r="DU17" s="28"/>
      <c r="DV17" s="28"/>
      <c r="DW17" s="28"/>
      <c r="DX17" s="28"/>
      <c r="DY17" s="28"/>
      <c r="DZ17" s="28"/>
      <c r="EA17" s="28"/>
      <c r="EB17" s="28"/>
      <c r="EC17" s="28"/>
      <c r="ED17" s="28"/>
      <c r="EE17" s="28"/>
      <c r="EF17" s="28"/>
      <c r="EG17" s="28"/>
      <c r="EH17" s="28"/>
      <c r="EI17" s="28"/>
      <c r="EJ17" s="28"/>
      <c r="EK17" s="28"/>
      <c r="EL17" s="28"/>
      <c r="EM17" s="28"/>
      <c r="EN17" s="28"/>
      <c r="EO17" s="28"/>
      <c r="EP17" s="28"/>
      <c r="EQ17" s="28"/>
      <c r="ER17" s="28"/>
      <c r="ES17" s="28"/>
      <c r="ET17" s="28"/>
      <c r="EU17" s="28"/>
    </row>
    <row r="18">
      <c r="A18" s="24" t="s">
        <v>228</v>
      </c>
      <c r="B18" s="25" t="s">
        <v>307</v>
      </c>
      <c r="C18" s="30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  <c r="BN18" s="28"/>
      <c r="BO18" s="28"/>
      <c r="BP18" s="28"/>
      <c r="BQ18" s="28"/>
      <c r="BR18" s="28"/>
      <c r="BS18" s="28"/>
      <c r="BT18" s="28"/>
      <c r="BU18" s="28"/>
      <c r="BV18" s="28"/>
      <c r="BW18" s="28"/>
      <c r="BX18" s="28"/>
      <c r="BY18" s="28"/>
      <c r="BZ18" s="28"/>
      <c r="CA18" s="28"/>
      <c r="CB18" s="28"/>
      <c r="CC18" s="28"/>
      <c r="CD18" s="28"/>
      <c r="CE18" s="28"/>
      <c r="CF18" s="28"/>
      <c r="CG18" s="28"/>
      <c r="CH18" s="28"/>
      <c r="CI18" s="28"/>
      <c r="CJ18" s="28"/>
      <c r="CK18" s="28"/>
      <c r="CL18" s="28"/>
      <c r="CM18" s="28"/>
      <c r="CN18" s="28"/>
      <c r="CO18" s="28"/>
      <c r="CP18" s="28"/>
      <c r="CQ18" s="28"/>
      <c r="CR18" s="28"/>
      <c r="CS18" s="28"/>
      <c r="CT18" s="28"/>
      <c r="CU18" s="28"/>
      <c r="CV18" s="28"/>
      <c r="CW18" s="28"/>
      <c r="CX18" s="28"/>
      <c r="CY18" s="28"/>
      <c r="CZ18" s="28"/>
      <c r="DA18" s="28"/>
      <c r="DB18" s="28"/>
      <c r="DC18" s="28"/>
      <c r="DD18" s="28"/>
      <c r="DE18" s="28"/>
      <c r="DF18" s="28"/>
      <c r="DG18" s="28"/>
      <c r="DH18" s="28"/>
      <c r="DI18" s="28"/>
      <c r="DJ18" s="28"/>
      <c r="DK18" s="28"/>
      <c r="DL18" s="28"/>
      <c r="DM18" s="28"/>
      <c r="DN18" s="28"/>
      <c r="DO18" s="28"/>
      <c r="DP18" s="28"/>
      <c r="DQ18" s="28"/>
      <c r="DR18" s="28"/>
      <c r="DS18" s="28"/>
      <c r="DT18" s="28"/>
      <c r="DU18" s="28"/>
      <c r="DV18" s="28"/>
      <c r="DW18" s="28"/>
      <c r="DX18" s="28"/>
      <c r="DY18" s="28"/>
      <c r="DZ18" s="28"/>
      <c r="EA18" s="28"/>
      <c r="EB18" s="28"/>
      <c r="EC18" s="28"/>
      <c r="ED18" s="28"/>
      <c r="EE18" s="28"/>
      <c r="EF18" s="28"/>
      <c r="EG18" s="28"/>
      <c r="EH18" s="28"/>
      <c r="EI18" s="28"/>
      <c r="EJ18" s="28"/>
      <c r="EK18" s="28"/>
      <c r="EL18" s="28"/>
      <c r="EM18" s="28"/>
      <c r="EN18" s="28"/>
      <c r="EO18" s="28"/>
      <c r="EP18" s="28"/>
      <c r="EQ18" s="28"/>
      <c r="ER18" s="28"/>
      <c r="ES18" s="28"/>
      <c r="ET18" s="28"/>
      <c r="EU18" s="28"/>
    </row>
    <row r="19">
      <c r="J19" s="3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63"/>
    <col customWidth="1" min="2" max="3" width="16.38"/>
    <col customWidth="1" min="9" max="13" width="17.0"/>
  </cols>
  <sheetData>
    <row r="1">
      <c r="A1" s="24" t="s">
        <v>150</v>
      </c>
      <c r="B1" s="25" t="s">
        <v>308</v>
      </c>
      <c r="C1" s="26"/>
      <c r="D1" s="27"/>
      <c r="E1" s="28"/>
      <c r="F1" s="28"/>
      <c r="G1" s="28"/>
      <c r="H1" s="28"/>
      <c r="I1" s="28"/>
      <c r="J1" s="28"/>
      <c r="K1" s="28"/>
      <c r="L1" s="28"/>
      <c r="M1" s="28"/>
    </row>
    <row r="2">
      <c r="A2" s="24" t="s">
        <v>77</v>
      </c>
      <c r="B2" s="25" t="s">
        <v>116</v>
      </c>
      <c r="C2" s="30"/>
      <c r="D2" s="28"/>
      <c r="E2" s="28"/>
      <c r="F2" s="28"/>
      <c r="G2" s="28"/>
      <c r="H2" s="28"/>
      <c r="I2" s="28"/>
      <c r="J2" s="28"/>
      <c r="K2" s="28"/>
      <c r="L2" s="28"/>
      <c r="M2" s="28"/>
    </row>
    <row r="3">
      <c r="A3" s="24" t="s">
        <v>79</v>
      </c>
      <c r="B3" s="25" t="s">
        <v>309</v>
      </c>
      <c r="C3" s="30"/>
      <c r="D3" s="28"/>
      <c r="E3" s="28"/>
      <c r="F3" s="28"/>
      <c r="G3" s="28"/>
      <c r="H3" s="28"/>
      <c r="I3" s="28"/>
      <c r="J3" s="28"/>
      <c r="K3" s="28"/>
      <c r="L3" s="28"/>
      <c r="M3" s="28"/>
    </row>
    <row r="4">
      <c r="A4" s="28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</row>
    <row r="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</row>
    <row r="6" ht="51.75" customHeight="1">
      <c r="A6" s="32" t="s">
        <v>155</v>
      </c>
      <c r="B6" s="32" t="s">
        <v>156</v>
      </c>
      <c r="C6" s="32" t="s">
        <v>157</v>
      </c>
      <c r="D6" s="32" t="s">
        <v>158</v>
      </c>
      <c r="E6" s="32" t="s">
        <v>159</v>
      </c>
      <c r="F6" s="32" t="s">
        <v>160</v>
      </c>
      <c r="G6" s="32" t="s">
        <v>161</v>
      </c>
      <c r="H6" s="32" t="s">
        <v>14</v>
      </c>
      <c r="I6" s="32" t="s">
        <v>162</v>
      </c>
      <c r="J6" s="32" t="s">
        <v>127</v>
      </c>
      <c r="K6" s="32" t="s">
        <v>15</v>
      </c>
      <c r="L6" s="32" t="s">
        <v>16</v>
      </c>
      <c r="M6" s="32" t="s">
        <v>163</v>
      </c>
    </row>
    <row r="7">
      <c r="A7" s="23" t="s">
        <v>164</v>
      </c>
      <c r="B7" s="23">
        <v>20.0</v>
      </c>
      <c r="C7" s="33">
        <f t="shared" ref="C7:C15" si="1">B7*1.25</f>
        <v>25</v>
      </c>
      <c r="D7" s="23" t="s">
        <v>165</v>
      </c>
      <c r="E7" s="23">
        <v>40.0</v>
      </c>
      <c r="F7" s="23">
        <v>5.0</v>
      </c>
      <c r="G7" s="23">
        <v>30.0</v>
      </c>
      <c r="H7" s="23" t="s">
        <v>206</v>
      </c>
      <c r="I7" s="23" t="s">
        <v>207</v>
      </c>
      <c r="J7" s="23" t="s">
        <v>112</v>
      </c>
      <c r="K7" s="23" t="s">
        <v>113</v>
      </c>
      <c r="L7" s="23" t="s">
        <v>310</v>
      </c>
      <c r="M7" s="23" t="s">
        <v>311</v>
      </c>
    </row>
    <row r="8">
      <c r="A8" s="23" t="s">
        <v>170</v>
      </c>
      <c r="B8" s="23">
        <v>13.0</v>
      </c>
      <c r="C8" s="33">
        <f t="shared" si="1"/>
        <v>16.25</v>
      </c>
      <c r="D8" s="23" t="s">
        <v>171</v>
      </c>
      <c r="E8" s="23">
        <v>41.0</v>
      </c>
      <c r="F8" s="23">
        <v>5.0</v>
      </c>
      <c r="G8" s="23">
        <v>30.0</v>
      </c>
      <c r="H8" s="23" t="s">
        <v>206</v>
      </c>
      <c r="I8" s="23" t="s">
        <v>207</v>
      </c>
      <c r="J8" s="23" t="s">
        <v>312</v>
      </c>
      <c r="K8" s="23" t="s">
        <v>313</v>
      </c>
      <c r="L8" s="23" t="s">
        <v>314</v>
      </c>
      <c r="M8" s="23" t="s">
        <v>315</v>
      </c>
    </row>
    <row r="9">
      <c r="A9" s="23" t="s">
        <v>178</v>
      </c>
      <c r="B9" s="23">
        <v>12.0</v>
      </c>
      <c r="C9" s="33">
        <f t="shared" si="1"/>
        <v>15</v>
      </c>
      <c r="D9" s="23" t="s">
        <v>179</v>
      </c>
      <c r="E9" s="23">
        <v>42.0</v>
      </c>
      <c r="F9" s="23">
        <v>5.0</v>
      </c>
      <c r="G9" s="23">
        <v>30.0</v>
      </c>
      <c r="H9" s="23" t="s">
        <v>206</v>
      </c>
      <c r="I9" s="23" t="s">
        <v>207</v>
      </c>
      <c r="J9" s="23" t="s">
        <v>316</v>
      </c>
      <c r="K9" s="23" t="s">
        <v>317</v>
      </c>
      <c r="L9" s="23" t="s">
        <v>318</v>
      </c>
      <c r="M9" s="23" t="s">
        <v>319</v>
      </c>
    </row>
    <row r="10">
      <c r="A10" s="23" t="s">
        <v>186</v>
      </c>
      <c r="B10" s="23">
        <v>11.0</v>
      </c>
      <c r="C10" s="33">
        <f t="shared" si="1"/>
        <v>13.75</v>
      </c>
      <c r="D10" s="23" t="s">
        <v>187</v>
      </c>
      <c r="E10" s="23">
        <v>43.0</v>
      </c>
      <c r="F10" s="23">
        <v>4.0</v>
      </c>
      <c r="G10" s="23">
        <v>14.0</v>
      </c>
      <c r="H10" s="23" t="s">
        <v>220</v>
      </c>
      <c r="I10" s="23" t="s">
        <v>221</v>
      </c>
      <c r="J10" s="23" t="s">
        <v>320</v>
      </c>
      <c r="K10" s="23" t="s">
        <v>321</v>
      </c>
      <c r="L10" s="23" t="s">
        <v>322</v>
      </c>
      <c r="M10" s="23" t="s">
        <v>323</v>
      </c>
    </row>
    <row r="11">
      <c r="A11" s="23" t="s">
        <v>192</v>
      </c>
      <c r="B11" s="23">
        <v>10.0</v>
      </c>
      <c r="C11" s="33">
        <f t="shared" si="1"/>
        <v>12.5</v>
      </c>
      <c r="D11" s="23" t="s">
        <v>193</v>
      </c>
      <c r="E11" s="23">
        <v>44.0</v>
      </c>
      <c r="F11" s="23">
        <v>4.0</v>
      </c>
      <c r="G11" s="23">
        <v>14.0</v>
      </c>
      <c r="H11" s="23" t="s">
        <v>220</v>
      </c>
      <c r="I11" s="23" t="s">
        <v>221</v>
      </c>
      <c r="J11" s="23" t="s">
        <v>324</v>
      </c>
      <c r="K11" s="23" t="s">
        <v>325</v>
      </c>
      <c r="L11" s="23" t="s">
        <v>326</v>
      </c>
      <c r="M11" s="23" t="s">
        <v>327</v>
      </c>
    </row>
    <row r="12">
      <c r="A12" s="23" t="s">
        <v>198</v>
      </c>
      <c r="B12" s="23">
        <v>9.0</v>
      </c>
      <c r="C12" s="33">
        <f t="shared" si="1"/>
        <v>11.25</v>
      </c>
      <c r="D12" s="23" t="s">
        <v>199</v>
      </c>
      <c r="E12" s="23">
        <v>45.0</v>
      </c>
      <c r="F12" s="23">
        <v>4.0</v>
      </c>
      <c r="G12" s="23">
        <v>14.0</v>
      </c>
      <c r="H12" s="23" t="s">
        <v>220</v>
      </c>
      <c r="I12" s="23" t="s">
        <v>221</v>
      </c>
      <c r="J12" s="23" t="s">
        <v>328</v>
      </c>
      <c r="K12" s="23" t="s">
        <v>329</v>
      </c>
      <c r="L12" s="23" t="s">
        <v>330</v>
      </c>
      <c r="M12" s="23" t="s">
        <v>331</v>
      </c>
    </row>
    <row r="13">
      <c r="A13" s="23" t="s">
        <v>204</v>
      </c>
      <c r="B13" s="23">
        <v>8.0</v>
      </c>
      <c r="C13" s="33">
        <f t="shared" si="1"/>
        <v>10</v>
      </c>
      <c r="D13" s="23" t="s">
        <v>205</v>
      </c>
      <c r="E13" s="23">
        <v>46.0</v>
      </c>
      <c r="F13" s="23">
        <v>4.0</v>
      </c>
      <c r="G13" s="23">
        <v>14.0</v>
      </c>
      <c r="H13" s="23" t="s">
        <v>220</v>
      </c>
      <c r="I13" s="23" t="s">
        <v>221</v>
      </c>
      <c r="J13" s="23" t="s">
        <v>332</v>
      </c>
      <c r="K13" s="23" t="s">
        <v>333</v>
      </c>
      <c r="L13" s="23" t="s">
        <v>334</v>
      </c>
      <c r="M13" s="23" t="s">
        <v>335</v>
      </c>
    </row>
    <row r="14">
      <c r="A14" s="23" t="s">
        <v>258</v>
      </c>
      <c r="B14" s="23">
        <v>7.0</v>
      </c>
      <c r="C14" s="33">
        <f t="shared" si="1"/>
        <v>8.75</v>
      </c>
      <c r="D14" s="23" t="s">
        <v>213</v>
      </c>
      <c r="E14" s="23">
        <v>99.0</v>
      </c>
      <c r="F14" s="23">
        <v>4.0</v>
      </c>
      <c r="G14" s="23">
        <v>14.0</v>
      </c>
      <c r="H14" s="23" t="s">
        <v>220</v>
      </c>
      <c r="I14" s="23" t="s">
        <v>221</v>
      </c>
      <c r="J14" s="23" t="s">
        <v>336</v>
      </c>
      <c r="K14" s="23" t="s">
        <v>337</v>
      </c>
      <c r="L14" s="23" t="s">
        <v>338</v>
      </c>
      <c r="M14" s="23" t="s">
        <v>339</v>
      </c>
    </row>
    <row r="15">
      <c r="A15" s="23" t="s">
        <v>218</v>
      </c>
      <c r="B15" s="23">
        <v>6.0</v>
      </c>
      <c r="C15" s="33">
        <f t="shared" si="1"/>
        <v>7.5</v>
      </c>
      <c r="D15" s="23" t="s">
        <v>219</v>
      </c>
      <c r="E15" s="23">
        <v>47.0</v>
      </c>
      <c r="F15" s="23">
        <v>4.0</v>
      </c>
      <c r="G15" s="23">
        <v>14.0</v>
      </c>
      <c r="H15" s="23" t="s">
        <v>220</v>
      </c>
      <c r="I15" s="23" t="s">
        <v>221</v>
      </c>
      <c r="J15" s="23" t="s">
        <v>340</v>
      </c>
      <c r="K15" s="23" t="s">
        <v>341</v>
      </c>
      <c r="L15" s="23" t="s">
        <v>342</v>
      </c>
      <c r="M15" s="23" t="s">
        <v>343</v>
      </c>
    </row>
    <row r="16">
      <c r="A16" s="24" t="s">
        <v>269</v>
      </c>
      <c r="B16" s="29">
        <v>96.0</v>
      </c>
      <c r="C16" s="29">
        <v>123.0</v>
      </c>
      <c r="D16" s="28"/>
      <c r="E16" s="28"/>
      <c r="F16" s="28"/>
      <c r="G16" s="29">
        <v>174.0</v>
      </c>
      <c r="H16" s="28"/>
      <c r="I16" s="28"/>
      <c r="J16" s="28"/>
      <c r="K16" s="28"/>
      <c r="L16" s="28"/>
      <c r="M16" s="28"/>
    </row>
    <row r="17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</row>
    <row r="18">
      <c r="A18" s="24" t="s">
        <v>228</v>
      </c>
      <c r="B18" s="34" t="s">
        <v>344</v>
      </c>
      <c r="C18" s="35"/>
      <c r="D18" s="35"/>
      <c r="E18" s="18"/>
      <c r="F18" s="28"/>
      <c r="G18" s="28"/>
      <c r="H18" s="28"/>
      <c r="I18" s="28"/>
      <c r="J18" s="28"/>
      <c r="K18" s="28"/>
      <c r="L18" s="28"/>
      <c r="M18" s="28"/>
    </row>
    <row r="19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</row>
  </sheetData>
  <mergeCells count="1">
    <mergeCell ref="B18:E1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88"/>
    <col customWidth="1" min="6" max="6" width="14.25"/>
    <col customWidth="1" min="7" max="7" width="17.13"/>
    <col customWidth="1" min="9" max="10" width="16.88"/>
    <col customWidth="1" min="11" max="11" width="17.13"/>
    <col customWidth="1" min="12" max="12" width="16.88"/>
    <col customWidth="1" min="13" max="13" width="16.5"/>
  </cols>
  <sheetData>
    <row r="1">
      <c r="A1" s="24" t="s">
        <v>150</v>
      </c>
      <c r="B1" s="25" t="s">
        <v>345</v>
      </c>
      <c r="C1" s="26"/>
      <c r="D1" s="27"/>
      <c r="E1" s="28"/>
      <c r="F1" s="28"/>
      <c r="G1" s="28"/>
      <c r="H1" s="28"/>
      <c r="I1" s="28"/>
      <c r="J1" s="28"/>
      <c r="K1" s="28"/>
      <c r="L1" s="28"/>
      <c r="M1" s="28"/>
      <c r="N1" s="28"/>
    </row>
    <row r="2">
      <c r="A2" s="24" t="s">
        <v>77</v>
      </c>
      <c r="B2" s="25" t="s">
        <v>122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>
      <c r="A3" s="24" t="s">
        <v>79</v>
      </c>
      <c r="B3" s="25" t="s">
        <v>346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</row>
    <row r="4">
      <c r="A4" s="28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</row>
    <row r="6">
      <c r="A6" s="36" t="s">
        <v>155</v>
      </c>
      <c r="B6" s="36" t="s">
        <v>156</v>
      </c>
      <c r="C6" s="36" t="s">
        <v>157</v>
      </c>
      <c r="D6" s="36" t="s">
        <v>158</v>
      </c>
      <c r="E6" s="36" t="s">
        <v>159</v>
      </c>
      <c r="F6" s="36" t="s">
        <v>160</v>
      </c>
      <c r="G6" s="36" t="s">
        <v>161</v>
      </c>
      <c r="H6" s="36" t="s">
        <v>14</v>
      </c>
      <c r="I6" s="36" t="s">
        <v>162</v>
      </c>
      <c r="J6" s="36" t="s">
        <v>127</v>
      </c>
      <c r="K6" s="36" t="s">
        <v>15</v>
      </c>
      <c r="L6" s="36" t="s">
        <v>16</v>
      </c>
      <c r="M6" s="36" t="s">
        <v>163</v>
      </c>
      <c r="N6" s="28"/>
    </row>
    <row r="7">
      <c r="A7" s="23" t="s">
        <v>164</v>
      </c>
      <c r="B7" s="23">
        <v>36.0</v>
      </c>
      <c r="C7" s="23">
        <v>45.0</v>
      </c>
      <c r="D7" s="23" t="s">
        <v>165</v>
      </c>
      <c r="E7" s="23">
        <v>30.0</v>
      </c>
      <c r="F7" s="23">
        <v>6.0</v>
      </c>
      <c r="G7" s="23">
        <v>62.0</v>
      </c>
      <c r="H7" s="23" t="s">
        <v>180</v>
      </c>
      <c r="I7" s="23" t="s">
        <v>181</v>
      </c>
      <c r="J7" s="23" t="s">
        <v>118</v>
      </c>
      <c r="K7" s="23" t="s">
        <v>119</v>
      </c>
      <c r="L7" s="23" t="s">
        <v>347</v>
      </c>
      <c r="M7" s="23" t="s">
        <v>348</v>
      </c>
      <c r="N7" s="28"/>
    </row>
    <row r="8">
      <c r="A8" s="23" t="s">
        <v>170</v>
      </c>
      <c r="B8" s="23">
        <v>20.0</v>
      </c>
      <c r="C8" s="23">
        <v>25.0</v>
      </c>
      <c r="D8" s="23" t="s">
        <v>171</v>
      </c>
      <c r="E8" s="23">
        <v>10.0</v>
      </c>
      <c r="F8" s="23">
        <v>5.0</v>
      </c>
      <c r="G8" s="23">
        <v>30.0</v>
      </c>
      <c r="H8" s="23" t="s">
        <v>206</v>
      </c>
      <c r="I8" s="23" t="s">
        <v>207</v>
      </c>
      <c r="J8" s="23" t="s">
        <v>349</v>
      </c>
      <c r="K8" s="23" t="s">
        <v>350</v>
      </c>
      <c r="L8" s="23" t="s">
        <v>351</v>
      </c>
      <c r="M8" s="23" t="s">
        <v>352</v>
      </c>
      <c r="N8" s="28"/>
    </row>
    <row r="9">
      <c r="A9" s="23" t="s">
        <v>178</v>
      </c>
      <c r="B9" s="23">
        <v>11.0</v>
      </c>
      <c r="C9" s="23">
        <v>14.0</v>
      </c>
      <c r="D9" s="23" t="s">
        <v>179</v>
      </c>
      <c r="E9" s="23">
        <v>40.0</v>
      </c>
      <c r="F9" s="23">
        <v>4.0</v>
      </c>
      <c r="G9" s="23">
        <v>14.0</v>
      </c>
      <c r="H9" s="23" t="s">
        <v>220</v>
      </c>
      <c r="I9" s="23" t="s">
        <v>221</v>
      </c>
      <c r="J9" s="23" t="s">
        <v>353</v>
      </c>
      <c r="K9" s="23" t="s">
        <v>354</v>
      </c>
      <c r="L9" s="23" t="s">
        <v>355</v>
      </c>
      <c r="M9" s="23" t="s">
        <v>356</v>
      </c>
      <c r="N9" s="28"/>
    </row>
    <row r="10">
      <c r="A10" s="23" t="s">
        <v>186</v>
      </c>
      <c r="B10" s="23">
        <v>9.0</v>
      </c>
      <c r="C10" s="23">
        <v>12.0</v>
      </c>
      <c r="D10" s="23" t="s">
        <v>187</v>
      </c>
      <c r="E10" s="23">
        <v>80.0</v>
      </c>
      <c r="F10" s="23">
        <v>4.0</v>
      </c>
      <c r="G10" s="23">
        <v>14.0</v>
      </c>
      <c r="H10" s="23" t="s">
        <v>220</v>
      </c>
      <c r="I10" s="23" t="s">
        <v>221</v>
      </c>
      <c r="J10" s="23" t="s">
        <v>357</v>
      </c>
      <c r="K10" s="23" t="s">
        <v>358</v>
      </c>
      <c r="L10" s="23" t="s">
        <v>359</v>
      </c>
      <c r="M10" s="23" t="s">
        <v>360</v>
      </c>
      <c r="N10" s="28"/>
    </row>
    <row r="11">
      <c r="A11" s="23" t="s">
        <v>192</v>
      </c>
      <c r="B11" s="23">
        <v>8.0</v>
      </c>
      <c r="C11" s="23">
        <v>10.0</v>
      </c>
      <c r="D11" s="23" t="s">
        <v>193</v>
      </c>
      <c r="E11" s="23">
        <v>50.0</v>
      </c>
      <c r="F11" s="23">
        <v>4.0</v>
      </c>
      <c r="G11" s="23">
        <v>14.0</v>
      </c>
      <c r="H11" s="23" t="s">
        <v>220</v>
      </c>
      <c r="I11" s="23" t="s">
        <v>221</v>
      </c>
      <c r="J11" s="23" t="s">
        <v>361</v>
      </c>
      <c r="K11" s="23" t="s">
        <v>362</v>
      </c>
      <c r="L11" s="23" t="s">
        <v>363</v>
      </c>
      <c r="M11" s="23" t="s">
        <v>364</v>
      </c>
      <c r="N11" s="28"/>
    </row>
    <row r="12">
      <c r="A12" s="23" t="s">
        <v>198</v>
      </c>
      <c r="B12" s="23">
        <v>7.0</v>
      </c>
      <c r="C12" s="23">
        <v>9.0</v>
      </c>
      <c r="D12" s="23" t="s">
        <v>199</v>
      </c>
      <c r="E12" s="23">
        <v>20.0</v>
      </c>
      <c r="F12" s="23">
        <v>4.0</v>
      </c>
      <c r="G12" s="23">
        <v>14.0</v>
      </c>
      <c r="H12" s="23" t="s">
        <v>220</v>
      </c>
      <c r="I12" s="23" t="s">
        <v>221</v>
      </c>
      <c r="J12" s="23" t="s">
        <v>365</v>
      </c>
      <c r="K12" s="23" t="s">
        <v>366</v>
      </c>
      <c r="L12" s="23" t="s">
        <v>367</v>
      </c>
      <c r="M12" s="23" t="s">
        <v>368</v>
      </c>
      <c r="N12" s="28"/>
    </row>
    <row r="13">
      <c r="A13" s="23" t="s">
        <v>204</v>
      </c>
      <c r="B13" s="23">
        <v>5.0</v>
      </c>
      <c r="C13" s="23">
        <v>7.0</v>
      </c>
      <c r="D13" s="23" t="s">
        <v>205</v>
      </c>
      <c r="E13" s="23">
        <v>70.0</v>
      </c>
      <c r="F13" s="23">
        <v>4.0</v>
      </c>
      <c r="G13" s="23">
        <v>14.0</v>
      </c>
      <c r="H13" s="23" t="s">
        <v>220</v>
      </c>
      <c r="I13" s="23" t="s">
        <v>221</v>
      </c>
      <c r="J13" s="23" t="s">
        <v>369</v>
      </c>
      <c r="K13" s="23" t="s">
        <v>370</v>
      </c>
      <c r="L13" s="23" t="s">
        <v>371</v>
      </c>
      <c r="M13" s="23" t="s">
        <v>372</v>
      </c>
      <c r="N13" s="28"/>
    </row>
    <row r="14">
      <c r="A14" s="23" t="s">
        <v>218</v>
      </c>
      <c r="B14" s="23">
        <v>5.0</v>
      </c>
      <c r="C14" s="23">
        <v>7.0</v>
      </c>
      <c r="D14" s="23" t="s">
        <v>219</v>
      </c>
      <c r="E14" s="23">
        <v>60.0</v>
      </c>
      <c r="F14" s="23">
        <v>4.0</v>
      </c>
      <c r="G14" s="23">
        <v>14.0</v>
      </c>
      <c r="H14" s="23" t="s">
        <v>220</v>
      </c>
      <c r="I14" s="23" t="s">
        <v>221</v>
      </c>
      <c r="J14" s="23" t="s">
        <v>373</v>
      </c>
      <c r="K14" s="23" t="s">
        <v>374</v>
      </c>
      <c r="L14" s="23" t="s">
        <v>375</v>
      </c>
      <c r="M14" s="23" t="s">
        <v>376</v>
      </c>
      <c r="N14" s="28"/>
    </row>
    <row r="15">
      <c r="A15" s="23" t="s">
        <v>258</v>
      </c>
      <c r="B15" s="23">
        <v>4.0</v>
      </c>
      <c r="C15" s="23">
        <v>5.0</v>
      </c>
      <c r="D15" s="23" t="s">
        <v>213</v>
      </c>
      <c r="E15" s="23">
        <v>99.0</v>
      </c>
      <c r="F15" s="23">
        <v>3.0</v>
      </c>
      <c r="G15" s="23">
        <v>6.0</v>
      </c>
      <c r="H15" s="23" t="s">
        <v>259</v>
      </c>
      <c r="I15" s="23" t="s">
        <v>260</v>
      </c>
      <c r="J15" s="23" t="s">
        <v>377</v>
      </c>
      <c r="K15" s="23" t="s">
        <v>378</v>
      </c>
      <c r="L15" s="23" t="s">
        <v>379</v>
      </c>
      <c r="M15" s="23" t="s">
        <v>380</v>
      </c>
      <c r="N15" s="28"/>
    </row>
    <row r="16">
      <c r="A16" s="24" t="s">
        <v>269</v>
      </c>
      <c r="B16" s="29">
        <v>105.0</v>
      </c>
      <c r="C16" s="29">
        <v>134.0</v>
      </c>
      <c r="D16" s="28"/>
      <c r="E16" s="28"/>
      <c r="F16" s="28"/>
      <c r="G16" s="29">
        <v>182.0</v>
      </c>
      <c r="H16" s="28"/>
      <c r="I16" s="28"/>
      <c r="J16" s="28"/>
      <c r="K16" s="28"/>
      <c r="L16" s="28"/>
      <c r="M16" s="28"/>
      <c r="N16" s="28"/>
    </row>
    <row r="17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</row>
    <row r="18">
      <c r="A18" s="24" t="s">
        <v>228</v>
      </c>
      <c r="B18" s="25" t="s">
        <v>381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</row>
    <row r="19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3" t="s">
        <v>382</v>
      </c>
      <c r="M19" s="28"/>
      <c r="N19" s="28"/>
    </row>
    <row r="20">
      <c r="A20" s="28"/>
      <c r="B20" s="28"/>
      <c r="C20" s="28"/>
      <c r="D20" s="28"/>
      <c r="E20" s="28"/>
      <c r="F20" s="28"/>
      <c r="G20" s="28"/>
      <c r="H20" s="28"/>
      <c r="I20" s="28"/>
      <c r="J20" s="23" t="s">
        <v>358</v>
      </c>
      <c r="K20" s="28"/>
      <c r="L20" s="23" t="s">
        <v>383</v>
      </c>
      <c r="M20" s="28"/>
      <c r="N20" s="28"/>
    </row>
    <row r="2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</row>
    <row r="22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</row>
    <row r="23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</row>
    <row r="24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</row>
    <row r="25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</row>
  </sheetData>
  <drawing r:id="rId1"/>
</worksheet>
</file>